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91629\Documents\"/>
    </mc:Choice>
  </mc:AlternateContent>
  <xr:revisionPtr revIDLastSave="0" documentId="8_{FBA2B92E-15A4-46EF-A8B9-3F346A7BE3E0}" xr6:coauthVersionLast="47" xr6:coauthVersionMax="47" xr10:uidLastSave="{00000000-0000-0000-0000-000000000000}"/>
  <bookViews>
    <workbookView xWindow="-108" yWindow="-108" windowWidth="23256" windowHeight="12456" activeTab="4" xr2:uid="{00000000-000D-0000-FFFF-FFFF00000000}"/>
  </bookViews>
  <sheets>
    <sheet name="Student Result System" sheetId="1" r:id="rId1"/>
    <sheet name="Qustions" sheetId="2" r:id="rId2"/>
    <sheet name="Answer Sheet" sheetId="12" r:id="rId3"/>
    <sheet name="Pivot Table" sheetId="8" r:id="rId4"/>
    <sheet name="Dasboard" sheetId="16" r:id="rId5"/>
  </sheets>
  <definedNames>
    <definedName name="_xlnm._FilterDatabase" localSheetId="2" hidden="1">'Answer Sheet'!$A$1:$P$501</definedName>
    <definedName name="_xlnm._FilterDatabase" localSheetId="0" hidden="1">'Student Result System'!$A$1:$H$501</definedName>
    <definedName name="Slicer_Grade">#N/A</definedName>
    <definedName name="Slicer_Name">#N/A</definedName>
    <definedName name="Slicer_Name1">#N/A</definedName>
    <definedName name="Slicer_Pass_FAIL">#N/A</definedName>
    <definedName name="Slicer_Pass_FAIL1">#N/A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4" i="12" l="1"/>
  <c r="P25" i="12"/>
  <c r="P26" i="12"/>
  <c r="P27" i="12"/>
  <c r="P28" i="12"/>
  <c r="P29" i="12"/>
  <c r="P30" i="12"/>
  <c r="P31" i="12"/>
  <c r="P32" i="12"/>
  <c r="P23" i="12"/>
  <c r="O24" i="12"/>
  <c r="O25" i="12"/>
  <c r="O26" i="12"/>
  <c r="O27" i="12"/>
  <c r="O28" i="12"/>
  <c r="O29" i="12"/>
  <c r="O30" i="12"/>
  <c r="O31" i="12"/>
  <c r="O32" i="12"/>
  <c r="O23" i="12"/>
  <c r="N18" i="12"/>
  <c r="N17" i="12"/>
  <c r="N16" i="12"/>
  <c r="N13" i="12"/>
  <c r="N12" i="12"/>
  <c r="N11" i="12"/>
  <c r="N8" i="12"/>
  <c r="N7" i="12"/>
  <c r="N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 i="12"/>
  <c r="F501" i="12"/>
  <c r="F500" i="12"/>
  <c r="F499" i="12"/>
  <c r="F498" i="12"/>
  <c r="F497" i="12"/>
  <c r="F496" i="12"/>
  <c r="F495" i="12"/>
  <c r="F494" i="12"/>
  <c r="F493" i="12"/>
  <c r="F492" i="12"/>
  <c r="F491" i="12"/>
  <c r="F490" i="12"/>
  <c r="F489" i="12"/>
  <c r="F488" i="12"/>
  <c r="F487" i="12"/>
  <c r="F486" i="12"/>
  <c r="F485" i="12"/>
  <c r="F484" i="12"/>
  <c r="F483" i="12"/>
  <c r="F482" i="12"/>
  <c r="F481" i="12"/>
  <c r="F480" i="12"/>
  <c r="F479" i="12"/>
  <c r="F478" i="12"/>
  <c r="F477" i="12"/>
  <c r="F476" i="12"/>
  <c r="F475" i="12"/>
  <c r="F474" i="12"/>
  <c r="F473" i="12"/>
  <c r="F472" i="12"/>
  <c r="F471" i="12"/>
  <c r="F470" i="12"/>
  <c r="F469" i="12"/>
  <c r="F468" i="12"/>
  <c r="F467" i="12"/>
  <c r="F466" i="12"/>
  <c r="F465" i="12"/>
  <c r="F464" i="12"/>
  <c r="F463" i="12"/>
  <c r="F462" i="12"/>
  <c r="F461" i="12"/>
  <c r="F460" i="12"/>
  <c r="F459" i="12"/>
  <c r="F458" i="12"/>
  <c r="F457" i="12"/>
  <c r="F456" i="12"/>
  <c r="F455" i="12"/>
  <c r="F454" i="12"/>
  <c r="F453" i="12"/>
  <c r="F452" i="12"/>
  <c r="F451" i="12"/>
  <c r="F450" i="12"/>
  <c r="F449" i="12"/>
  <c r="F448" i="12"/>
  <c r="F447" i="12"/>
  <c r="F446" i="12"/>
  <c r="F445" i="12"/>
  <c r="F444" i="12"/>
  <c r="F443" i="12"/>
  <c r="F442" i="12"/>
  <c r="F441" i="12"/>
  <c r="F440" i="12"/>
  <c r="F439" i="12"/>
  <c r="F438" i="12"/>
  <c r="F437" i="12"/>
  <c r="F436" i="12"/>
  <c r="F435" i="12"/>
  <c r="F434" i="12"/>
  <c r="F433" i="12"/>
  <c r="F432" i="12"/>
  <c r="F431" i="12"/>
  <c r="F430" i="12"/>
  <c r="F429" i="12"/>
  <c r="F428" i="12"/>
  <c r="F427" i="12"/>
  <c r="F426" i="12"/>
  <c r="F425" i="12"/>
  <c r="F424" i="12"/>
  <c r="F423" i="12"/>
  <c r="F422" i="12"/>
  <c r="F421" i="12"/>
  <c r="F420" i="12"/>
  <c r="F419" i="12"/>
  <c r="F418" i="12"/>
  <c r="F417" i="12"/>
  <c r="F416" i="12"/>
  <c r="F415" i="12"/>
  <c r="G414" i="12"/>
  <c r="H414" i="12" s="1"/>
  <c r="F414" i="12"/>
  <c r="F413" i="12"/>
  <c r="F412" i="12"/>
  <c r="F411" i="12"/>
  <c r="F410" i="12"/>
  <c r="F409" i="12"/>
  <c r="F408" i="12"/>
  <c r="F407" i="12"/>
  <c r="F406" i="12"/>
  <c r="F405" i="12"/>
  <c r="F404" i="12"/>
  <c r="F403" i="12"/>
  <c r="F402" i="12"/>
  <c r="F401" i="12"/>
  <c r="F400" i="12"/>
  <c r="F399" i="12"/>
  <c r="F398" i="12"/>
  <c r="F397" i="12"/>
  <c r="F396" i="12"/>
  <c r="F395" i="12"/>
  <c r="F394" i="12"/>
  <c r="F393" i="12"/>
  <c r="F392" i="12"/>
  <c r="F391" i="12"/>
  <c r="F390" i="12"/>
  <c r="F389" i="12"/>
  <c r="F388" i="12"/>
  <c r="F387" i="12"/>
  <c r="F386" i="12"/>
  <c r="F385" i="12"/>
  <c r="F384" i="12"/>
  <c r="F383" i="12"/>
  <c r="F382" i="12"/>
  <c r="F381" i="12"/>
  <c r="F380" i="12"/>
  <c r="F379" i="12"/>
  <c r="F378" i="12"/>
  <c r="F377" i="12"/>
  <c r="F376" i="12"/>
  <c r="F375" i="12"/>
  <c r="F374" i="12"/>
  <c r="F373" i="12"/>
  <c r="F372" i="12"/>
  <c r="F371" i="12"/>
  <c r="F370" i="12"/>
  <c r="F369" i="12"/>
  <c r="F368" i="12"/>
  <c r="F367" i="12"/>
  <c r="F366" i="12"/>
  <c r="F365" i="12"/>
  <c r="F364" i="12"/>
  <c r="F363" i="12"/>
  <c r="F362" i="12"/>
  <c r="F361" i="12"/>
  <c r="F360" i="12"/>
  <c r="F359" i="12"/>
  <c r="F358" i="12"/>
  <c r="F357" i="12"/>
  <c r="F356" i="12"/>
  <c r="F355" i="12"/>
  <c r="F354" i="12"/>
  <c r="F353" i="12"/>
  <c r="F352" i="12"/>
  <c r="F351" i="12"/>
  <c r="F350" i="12"/>
  <c r="F349" i="12"/>
  <c r="F348" i="12"/>
  <c r="F347" i="12"/>
  <c r="F346" i="12"/>
  <c r="F345" i="12"/>
  <c r="F344" i="12"/>
  <c r="F343" i="12"/>
  <c r="F342" i="12"/>
  <c r="F341" i="12"/>
  <c r="F340" i="12"/>
  <c r="F339" i="12"/>
  <c r="F338" i="12"/>
  <c r="F337" i="12"/>
  <c r="F336" i="12"/>
  <c r="F335" i="12"/>
  <c r="F334" i="12"/>
  <c r="F333" i="12"/>
  <c r="F332" i="12"/>
  <c r="F331" i="12"/>
  <c r="F330" i="12"/>
  <c r="F329" i="12"/>
  <c r="F328" i="12"/>
  <c r="F327" i="12"/>
  <c r="F326" i="12"/>
  <c r="F325" i="12"/>
  <c r="F324" i="12"/>
  <c r="F323" i="12"/>
  <c r="F322" i="12"/>
  <c r="F321" i="12"/>
  <c r="F320" i="12"/>
  <c r="F319" i="12"/>
  <c r="F318" i="12"/>
  <c r="F317" i="12"/>
  <c r="F316" i="12"/>
  <c r="F315" i="12"/>
  <c r="F314" i="12"/>
  <c r="F313" i="12"/>
  <c r="F312" i="12"/>
  <c r="F311" i="12"/>
  <c r="F310" i="12"/>
  <c r="F309" i="12"/>
  <c r="F308" i="12"/>
  <c r="F307" i="12"/>
  <c r="F306" i="12"/>
  <c r="F305" i="12"/>
  <c r="F304" i="12"/>
  <c r="F303" i="12"/>
  <c r="F302" i="12"/>
  <c r="F301" i="12"/>
  <c r="F300" i="12"/>
  <c r="F299" i="12"/>
  <c r="F298" i="12"/>
  <c r="F297" i="12"/>
  <c r="F296" i="12"/>
  <c r="F295" i="12"/>
  <c r="F294" i="12"/>
  <c r="F293" i="12"/>
  <c r="F292" i="12"/>
  <c r="F291" i="12"/>
  <c r="F290" i="12"/>
  <c r="F289" i="12"/>
  <c r="F288" i="12"/>
  <c r="F287" i="12"/>
  <c r="F286" i="12"/>
  <c r="F285" i="12"/>
  <c r="F284" i="12"/>
  <c r="F283" i="12"/>
  <c r="F282" i="12"/>
  <c r="F281" i="12"/>
  <c r="F280" i="12"/>
  <c r="F279" i="12"/>
  <c r="F278" i="12"/>
  <c r="F277" i="12"/>
  <c r="F276" i="12"/>
  <c r="F275" i="12"/>
  <c r="F274" i="12"/>
  <c r="F273" i="12"/>
  <c r="F272" i="12"/>
  <c r="G271" i="12"/>
  <c r="H271" i="12" s="1"/>
  <c r="F271" i="12"/>
  <c r="F270" i="12"/>
  <c r="F269" i="12"/>
  <c r="F268" i="12"/>
  <c r="F267" i="12"/>
  <c r="F266" i="12"/>
  <c r="F265" i="12"/>
  <c r="F264" i="12"/>
  <c r="F263" i="12"/>
  <c r="F262" i="12"/>
  <c r="F261" i="12"/>
  <c r="G260" i="12"/>
  <c r="H260" i="12" s="1"/>
  <c r="F260" i="12"/>
  <c r="F259" i="12"/>
  <c r="F258" i="12"/>
  <c r="F257" i="12"/>
  <c r="F256" i="12"/>
  <c r="F255" i="12"/>
  <c r="F254" i="12"/>
  <c r="F253" i="12"/>
  <c r="F252" i="12"/>
  <c r="F251" i="12"/>
  <c r="F250" i="12"/>
  <c r="F249" i="12"/>
  <c r="F248" i="12"/>
  <c r="F247" i="12"/>
  <c r="F246" i="12"/>
  <c r="F245" i="12"/>
  <c r="F244" i="12"/>
  <c r="F243" i="12"/>
  <c r="F242" i="12"/>
  <c r="F241" i="12"/>
  <c r="F240" i="12"/>
  <c r="F239" i="12"/>
  <c r="F238" i="12"/>
  <c r="F237" i="12"/>
  <c r="F236" i="12"/>
  <c r="F235" i="12"/>
  <c r="F234" i="12"/>
  <c r="F233" i="12"/>
  <c r="F232" i="12"/>
  <c r="F231" i="12"/>
  <c r="F230" i="12"/>
  <c r="F229" i="12"/>
  <c r="F228" i="12"/>
  <c r="F227" i="12"/>
  <c r="F226" i="12"/>
  <c r="F225" i="12"/>
  <c r="F224" i="12"/>
  <c r="F223" i="12"/>
  <c r="F222" i="12"/>
  <c r="F221" i="12"/>
  <c r="F220" i="12"/>
  <c r="F219" i="12"/>
  <c r="F218" i="12"/>
  <c r="F217" i="12"/>
  <c r="F216" i="12"/>
  <c r="F215" i="12"/>
  <c r="F214" i="12"/>
  <c r="F213" i="12"/>
  <c r="F212" i="12"/>
  <c r="F211" i="12"/>
  <c r="F210" i="12"/>
  <c r="F209" i="12"/>
  <c r="F208" i="12"/>
  <c r="F207" i="12"/>
  <c r="F206" i="12"/>
  <c r="F205" i="12"/>
  <c r="F204" i="12"/>
  <c r="F203" i="12"/>
  <c r="F202" i="12"/>
  <c r="F201" i="12"/>
  <c r="F200" i="12"/>
  <c r="F199" i="12"/>
  <c r="F198" i="12"/>
  <c r="F197" i="12"/>
  <c r="F196" i="12"/>
  <c r="F195" i="12"/>
  <c r="F194" i="12"/>
  <c r="F193" i="12"/>
  <c r="F192" i="12"/>
  <c r="F191" i="12"/>
  <c r="F190" i="12"/>
  <c r="F189" i="12"/>
  <c r="F188" i="12"/>
  <c r="F187" i="12"/>
  <c r="F186" i="12"/>
  <c r="F185" i="12"/>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 r="F501" i="1"/>
  <c r="G501" i="1" s="1"/>
  <c r="H501" i="1" s="1"/>
  <c r="F500" i="1"/>
  <c r="G500" i="1" s="1"/>
  <c r="H500" i="1" s="1"/>
  <c r="F499" i="1"/>
  <c r="G499" i="1" s="1"/>
  <c r="H499" i="1" s="1"/>
  <c r="F498" i="1"/>
  <c r="G498" i="1" s="1"/>
  <c r="H498" i="1" s="1"/>
  <c r="F497" i="1"/>
  <c r="G497" i="1" s="1"/>
  <c r="H497" i="1" s="1"/>
  <c r="F496" i="1"/>
  <c r="G496" i="1" s="1"/>
  <c r="H496" i="1" s="1"/>
  <c r="F495" i="1"/>
  <c r="G495" i="1" s="1"/>
  <c r="H495" i="1" s="1"/>
  <c r="F494" i="1"/>
  <c r="G494" i="1" s="1"/>
  <c r="H494" i="1" s="1"/>
  <c r="F493" i="1"/>
  <c r="G493" i="1" s="1"/>
  <c r="H493" i="1" s="1"/>
  <c r="F492" i="1"/>
  <c r="G492" i="1" s="1"/>
  <c r="H492" i="1" s="1"/>
  <c r="F491" i="1"/>
  <c r="G491" i="1" s="1"/>
  <c r="H491" i="1" s="1"/>
  <c r="F490" i="1"/>
  <c r="G490" i="1" s="1"/>
  <c r="H490" i="1" s="1"/>
  <c r="F489" i="1"/>
  <c r="G489" i="1" s="1"/>
  <c r="H489" i="1" s="1"/>
  <c r="F488" i="1"/>
  <c r="G488" i="1" s="1"/>
  <c r="H488" i="1" s="1"/>
  <c r="F487" i="1"/>
  <c r="G487" i="1" s="1"/>
  <c r="H487" i="1" s="1"/>
  <c r="F486" i="1"/>
  <c r="G486" i="1" s="1"/>
  <c r="H486" i="1" s="1"/>
  <c r="F485" i="1"/>
  <c r="G485" i="1" s="1"/>
  <c r="H485" i="1" s="1"/>
  <c r="F484" i="1"/>
  <c r="G484" i="1" s="1"/>
  <c r="H484" i="1" s="1"/>
  <c r="F483" i="1"/>
  <c r="G483" i="1" s="1"/>
  <c r="H483" i="1" s="1"/>
  <c r="F482" i="1"/>
  <c r="G482" i="1" s="1"/>
  <c r="H482" i="1" s="1"/>
  <c r="F481" i="1"/>
  <c r="G481" i="1" s="1"/>
  <c r="H481" i="1" s="1"/>
  <c r="F480" i="1"/>
  <c r="G480" i="1" s="1"/>
  <c r="H480" i="1" s="1"/>
  <c r="F479" i="1"/>
  <c r="G479" i="1" s="1"/>
  <c r="H479" i="1" s="1"/>
  <c r="F478" i="1"/>
  <c r="G478" i="1" s="1"/>
  <c r="H478" i="1" s="1"/>
  <c r="F477" i="1"/>
  <c r="G477" i="1" s="1"/>
  <c r="H477" i="1" s="1"/>
  <c r="F476" i="1"/>
  <c r="G476" i="1" s="1"/>
  <c r="H476" i="1" s="1"/>
  <c r="F475" i="1"/>
  <c r="G475" i="1" s="1"/>
  <c r="H475" i="1" s="1"/>
  <c r="F474" i="1"/>
  <c r="G474" i="1" s="1"/>
  <c r="H474" i="1" s="1"/>
  <c r="F473" i="1"/>
  <c r="G473" i="1" s="1"/>
  <c r="H473" i="1" s="1"/>
  <c r="F472" i="1"/>
  <c r="G472" i="1" s="1"/>
  <c r="H472" i="1" s="1"/>
  <c r="F471" i="1"/>
  <c r="G471" i="1" s="1"/>
  <c r="H471" i="1" s="1"/>
  <c r="F470" i="1"/>
  <c r="G470" i="1" s="1"/>
  <c r="H470" i="1" s="1"/>
  <c r="F469" i="1"/>
  <c r="G469" i="1" s="1"/>
  <c r="H469" i="1" s="1"/>
  <c r="F468" i="1"/>
  <c r="G468" i="1" s="1"/>
  <c r="H468" i="1" s="1"/>
  <c r="F467" i="1"/>
  <c r="G467" i="1" s="1"/>
  <c r="H467" i="1" s="1"/>
  <c r="F466" i="1"/>
  <c r="G466" i="1" s="1"/>
  <c r="H466" i="1" s="1"/>
  <c r="F465" i="1"/>
  <c r="G465" i="1" s="1"/>
  <c r="H465" i="1" s="1"/>
  <c r="F464" i="1"/>
  <c r="G464" i="1" s="1"/>
  <c r="H464" i="1" s="1"/>
  <c r="F463" i="1"/>
  <c r="G463" i="1" s="1"/>
  <c r="H463" i="1" s="1"/>
  <c r="F462" i="1"/>
  <c r="G462" i="1" s="1"/>
  <c r="H462" i="1" s="1"/>
  <c r="F461" i="1"/>
  <c r="G461" i="1" s="1"/>
  <c r="H461" i="1" s="1"/>
  <c r="F460" i="1"/>
  <c r="G460" i="1" s="1"/>
  <c r="H460" i="1" s="1"/>
  <c r="F459" i="1"/>
  <c r="G459" i="1" s="1"/>
  <c r="H459" i="1" s="1"/>
  <c r="F458" i="1"/>
  <c r="G458" i="1" s="1"/>
  <c r="H458" i="1" s="1"/>
  <c r="F457" i="1"/>
  <c r="G457" i="1" s="1"/>
  <c r="H457" i="1" s="1"/>
  <c r="F456" i="1"/>
  <c r="G456" i="1" s="1"/>
  <c r="H456" i="1" s="1"/>
  <c r="F455" i="1"/>
  <c r="G455" i="1" s="1"/>
  <c r="H455" i="1" s="1"/>
  <c r="F454" i="1"/>
  <c r="G454" i="1" s="1"/>
  <c r="H454" i="1" s="1"/>
  <c r="F453" i="1"/>
  <c r="G453" i="1" s="1"/>
  <c r="H453" i="1" s="1"/>
  <c r="F452" i="1"/>
  <c r="G452" i="1" s="1"/>
  <c r="H452" i="1" s="1"/>
  <c r="F451" i="1"/>
  <c r="G451" i="1" s="1"/>
  <c r="H451" i="1" s="1"/>
  <c r="F450" i="1"/>
  <c r="G450" i="1" s="1"/>
  <c r="H450" i="1" s="1"/>
  <c r="F449" i="1"/>
  <c r="G449" i="1" s="1"/>
  <c r="H449" i="1" s="1"/>
  <c r="F448" i="1"/>
  <c r="G448" i="1" s="1"/>
  <c r="H448" i="1" s="1"/>
  <c r="F447" i="1"/>
  <c r="G447" i="1" s="1"/>
  <c r="H447" i="1" s="1"/>
  <c r="F446" i="1"/>
  <c r="G446" i="1" s="1"/>
  <c r="H446" i="1" s="1"/>
  <c r="F445" i="1"/>
  <c r="G445" i="1" s="1"/>
  <c r="H445" i="1" s="1"/>
  <c r="F444" i="1"/>
  <c r="G444" i="1" s="1"/>
  <c r="H444" i="1" s="1"/>
  <c r="F443" i="1"/>
  <c r="G443" i="1" s="1"/>
  <c r="H443" i="1" s="1"/>
  <c r="F442" i="1"/>
  <c r="G442" i="1" s="1"/>
  <c r="H442" i="1" s="1"/>
  <c r="F441" i="1"/>
  <c r="G441" i="1" s="1"/>
  <c r="H441" i="1" s="1"/>
  <c r="F440" i="1"/>
  <c r="G440" i="1" s="1"/>
  <c r="H440" i="1" s="1"/>
  <c r="F439" i="1"/>
  <c r="G439" i="1" s="1"/>
  <c r="H439" i="1" s="1"/>
  <c r="F438" i="1"/>
  <c r="G438" i="1" s="1"/>
  <c r="H438" i="1" s="1"/>
  <c r="F437" i="1"/>
  <c r="G437" i="1" s="1"/>
  <c r="H437" i="1" s="1"/>
  <c r="F436" i="1"/>
  <c r="G436" i="1" s="1"/>
  <c r="H436" i="1" s="1"/>
  <c r="F435" i="1"/>
  <c r="G435" i="1" s="1"/>
  <c r="H435" i="1" s="1"/>
  <c r="F434" i="1"/>
  <c r="G434" i="1" s="1"/>
  <c r="H434" i="1" s="1"/>
  <c r="F433" i="1"/>
  <c r="G433" i="1" s="1"/>
  <c r="H433" i="1" s="1"/>
  <c r="F432" i="1"/>
  <c r="G432" i="1" s="1"/>
  <c r="H432" i="1" s="1"/>
  <c r="F431" i="1"/>
  <c r="G431" i="1" s="1"/>
  <c r="H431" i="1" s="1"/>
  <c r="F430" i="1"/>
  <c r="G430" i="1" s="1"/>
  <c r="H430" i="1" s="1"/>
  <c r="F429" i="1"/>
  <c r="G429" i="1" s="1"/>
  <c r="H429" i="1" s="1"/>
  <c r="F428" i="1"/>
  <c r="G428" i="1" s="1"/>
  <c r="H428" i="1" s="1"/>
  <c r="F427" i="1"/>
  <c r="G427" i="1" s="1"/>
  <c r="H427" i="1" s="1"/>
  <c r="F426" i="1"/>
  <c r="G426" i="1" s="1"/>
  <c r="H426" i="1" s="1"/>
  <c r="F425" i="1"/>
  <c r="G425" i="1" s="1"/>
  <c r="H425" i="1" s="1"/>
  <c r="F424" i="1"/>
  <c r="G424" i="1" s="1"/>
  <c r="H424" i="1" s="1"/>
  <c r="F423" i="1"/>
  <c r="G423" i="1" s="1"/>
  <c r="H423" i="1" s="1"/>
  <c r="F422" i="1"/>
  <c r="G422" i="1" s="1"/>
  <c r="H422" i="1" s="1"/>
  <c r="F421" i="1"/>
  <c r="G421" i="1" s="1"/>
  <c r="H421" i="1" s="1"/>
  <c r="F420" i="1"/>
  <c r="G420" i="1" s="1"/>
  <c r="H420" i="1" s="1"/>
  <c r="F419" i="1"/>
  <c r="G419" i="1" s="1"/>
  <c r="H419" i="1" s="1"/>
  <c r="F418" i="1"/>
  <c r="G418" i="1" s="1"/>
  <c r="H418" i="1" s="1"/>
  <c r="F417" i="1"/>
  <c r="G417" i="1" s="1"/>
  <c r="H417" i="1" s="1"/>
  <c r="F416" i="1"/>
  <c r="G416" i="1" s="1"/>
  <c r="H416" i="1" s="1"/>
  <c r="F415" i="1"/>
  <c r="G415" i="1" s="1"/>
  <c r="H415" i="1" s="1"/>
  <c r="F414" i="1"/>
  <c r="G414" i="1" s="1"/>
  <c r="H414" i="1" s="1"/>
  <c r="F413" i="1"/>
  <c r="G413" i="1" s="1"/>
  <c r="H413" i="1" s="1"/>
  <c r="F412" i="1"/>
  <c r="G412" i="1" s="1"/>
  <c r="H412" i="1" s="1"/>
  <c r="F411" i="1"/>
  <c r="G411" i="1" s="1"/>
  <c r="H411" i="1" s="1"/>
  <c r="F410" i="1"/>
  <c r="G410" i="1" s="1"/>
  <c r="H410" i="1" s="1"/>
  <c r="F409" i="1"/>
  <c r="G409" i="1" s="1"/>
  <c r="H409" i="1" s="1"/>
  <c r="F408" i="1"/>
  <c r="G408" i="1" s="1"/>
  <c r="H408" i="1" s="1"/>
  <c r="F407" i="1"/>
  <c r="G407" i="1" s="1"/>
  <c r="H407" i="1" s="1"/>
  <c r="F406" i="1"/>
  <c r="G406" i="1" s="1"/>
  <c r="H406" i="1" s="1"/>
  <c r="F405" i="1"/>
  <c r="G405" i="1" s="1"/>
  <c r="H405" i="1" s="1"/>
  <c r="F404" i="1"/>
  <c r="G404" i="1" s="1"/>
  <c r="H404" i="1" s="1"/>
  <c r="F403" i="1"/>
  <c r="G403" i="1" s="1"/>
  <c r="H403" i="1" s="1"/>
  <c r="F402" i="1"/>
  <c r="G402" i="1" s="1"/>
  <c r="H402" i="1" s="1"/>
  <c r="F401" i="1"/>
  <c r="G401" i="1" s="1"/>
  <c r="H401" i="1" s="1"/>
  <c r="F400" i="1"/>
  <c r="G400" i="1" s="1"/>
  <c r="H400" i="1" s="1"/>
  <c r="F399" i="1"/>
  <c r="G399" i="1" s="1"/>
  <c r="H399" i="1" s="1"/>
  <c r="F398" i="1"/>
  <c r="G398" i="1" s="1"/>
  <c r="H398" i="1" s="1"/>
  <c r="F397" i="1"/>
  <c r="G397" i="1" s="1"/>
  <c r="H397" i="1" s="1"/>
  <c r="F396" i="1"/>
  <c r="G396" i="1" s="1"/>
  <c r="H396" i="1" s="1"/>
  <c r="F395" i="1"/>
  <c r="G395" i="1" s="1"/>
  <c r="H395" i="1" s="1"/>
  <c r="F394" i="1"/>
  <c r="G394" i="1" s="1"/>
  <c r="H394" i="1" s="1"/>
  <c r="F393" i="1"/>
  <c r="G393" i="1" s="1"/>
  <c r="H393" i="1" s="1"/>
  <c r="F392" i="1"/>
  <c r="G392" i="1" s="1"/>
  <c r="H392" i="1" s="1"/>
  <c r="F391" i="1"/>
  <c r="G391" i="1" s="1"/>
  <c r="H391" i="1" s="1"/>
  <c r="F390" i="1"/>
  <c r="G390" i="1" s="1"/>
  <c r="H390" i="1" s="1"/>
  <c r="F389" i="1"/>
  <c r="G389" i="1" s="1"/>
  <c r="H389" i="1" s="1"/>
  <c r="F388" i="1"/>
  <c r="G388" i="1" s="1"/>
  <c r="H388" i="1" s="1"/>
  <c r="F387" i="1"/>
  <c r="G387" i="1" s="1"/>
  <c r="H387" i="1" s="1"/>
  <c r="F386" i="1"/>
  <c r="G386" i="1" s="1"/>
  <c r="H386" i="1" s="1"/>
  <c r="F385" i="1"/>
  <c r="G385" i="1" s="1"/>
  <c r="H385" i="1" s="1"/>
  <c r="F384" i="1"/>
  <c r="G384" i="1" s="1"/>
  <c r="H384" i="1" s="1"/>
  <c r="F383" i="1"/>
  <c r="G383" i="1" s="1"/>
  <c r="H383" i="1" s="1"/>
  <c r="F382" i="1"/>
  <c r="G382" i="1" s="1"/>
  <c r="H382" i="1" s="1"/>
  <c r="F381" i="1"/>
  <c r="G381" i="1" s="1"/>
  <c r="H381" i="1" s="1"/>
  <c r="F380" i="1"/>
  <c r="G380" i="1" s="1"/>
  <c r="H380" i="1" s="1"/>
  <c r="F379" i="1"/>
  <c r="G379" i="1" s="1"/>
  <c r="H379" i="1" s="1"/>
  <c r="F378" i="1"/>
  <c r="G378" i="1" s="1"/>
  <c r="H378" i="1" s="1"/>
  <c r="F377" i="1"/>
  <c r="G377" i="1" s="1"/>
  <c r="H377" i="1" s="1"/>
  <c r="F376" i="1"/>
  <c r="G376" i="1" s="1"/>
  <c r="H376" i="1" s="1"/>
  <c r="F375" i="1"/>
  <c r="G375" i="1" s="1"/>
  <c r="H375" i="1" s="1"/>
  <c r="F374" i="1"/>
  <c r="G374" i="1" s="1"/>
  <c r="H374" i="1" s="1"/>
  <c r="F373" i="1"/>
  <c r="G373" i="1" s="1"/>
  <c r="H373" i="1" s="1"/>
  <c r="F372" i="1"/>
  <c r="G372" i="1" s="1"/>
  <c r="H372" i="1" s="1"/>
  <c r="F371" i="1"/>
  <c r="G371" i="1" s="1"/>
  <c r="H371" i="1" s="1"/>
  <c r="F370" i="1"/>
  <c r="G370" i="1" s="1"/>
  <c r="H370" i="1" s="1"/>
  <c r="F369" i="1"/>
  <c r="G369" i="1" s="1"/>
  <c r="H369" i="1" s="1"/>
  <c r="F368" i="1"/>
  <c r="G368" i="1" s="1"/>
  <c r="H368" i="1" s="1"/>
  <c r="F367" i="1"/>
  <c r="G367" i="1" s="1"/>
  <c r="H367" i="1" s="1"/>
  <c r="F366" i="1"/>
  <c r="G366" i="1" s="1"/>
  <c r="H366" i="1" s="1"/>
  <c r="F365" i="1"/>
  <c r="G365" i="1" s="1"/>
  <c r="H365" i="1" s="1"/>
  <c r="F364" i="1"/>
  <c r="G364" i="1" s="1"/>
  <c r="H364" i="1" s="1"/>
  <c r="F363" i="1"/>
  <c r="G363" i="1" s="1"/>
  <c r="H363" i="1" s="1"/>
  <c r="F362" i="1"/>
  <c r="G362" i="1" s="1"/>
  <c r="H362" i="1" s="1"/>
  <c r="F361" i="1"/>
  <c r="G361" i="1" s="1"/>
  <c r="H361" i="1" s="1"/>
  <c r="F360" i="1"/>
  <c r="G360" i="1" s="1"/>
  <c r="H360" i="1" s="1"/>
  <c r="F359" i="1"/>
  <c r="G359" i="1" s="1"/>
  <c r="H359" i="1" s="1"/>
  <c r="F358" i="1"/>
  <c r="G358" i="1" s="1"/>
  <c r="H358" i="1" s="1"/>
  <c r="F357" i="1"/>
  <c r="G357" i="1" s="1"/>
  <c r="H357" i="1" s="1"/>
  <c r="F356" i="1"/>
  <c r="G356" i="1" s="1"/>
  <c r="H356" i="1" s="1"/>
  <c r="F355" i="1"/>
  <c r="G355" i="1" s="1"/>
  <c r="H355" i="1" s="1"/>
  <c r="F354" i="1"/>
  <c r="G354" i="1" s="1"/>
  <c r="H354" i="1" s="1"/>
  <c r="F353" i="1"/>
  <c r="G353" i="1" s="1"/>
  <c r="H353" i="1" s="1"/>
  <c r="F352" i="1"/>
  <c r="G352" i="1" s="1"/>
  <c r="H352" i="1" s="1"/>
  <c r="F351" i="1"/>
  <c r="G351" i="1" s="1"/>
  <c r="H351" i="1" s="1"/>
  <c r="F350" i="1"/>
  <c r="G350" i="1" s="1"/>
  <c r="H350" i="1" s="1"/>
  <c r="F349" i="1"/>
  <c r="G349" i="1" s="1"/>
  <c r="H349" i="1" s="1"/>
  <c r="F348" i="1"/>
  <c r="G348" i="1" s="1"/>
  <c r="H348" i="1" s="1"/>
  <c r="F347" i="1"/>
  <c r="G347" i="1" s="1"/>
  <c r="H347" i="1" s="1"/>
  <c r="F346" i="1"/>
  <c r="G346" i="1" s="1"/>
  <c r="H346" i="1" s="1"/>
  <c r="F345" i="1"/>
  <c r="G345" i="1" s="1"/>
  <c r="H345" i="1" s="1"/>
  <c r="F344" i="1"/>
  <c r="G344" i="1" s="1"/>
  <c r="H344" i="1" s="1"/>
  <c r="F343" i="1"/>
  <c r="G343" i="1" s="1"/>
  <c r="H343" i="1" s="1"/>
  <c r="F342" i="1"/>
  <c r="G342" i="1" s="1"/>
  <c r="H342" i="1" s="1"/>
  <c r="F341" i="1"/>
  <c r="G341" i="1" s="1"/>
  <c r="H341" i="1" s="1"/>
  <c r="F340" i="1"/>
  <c r="G340" i="1" s="1"/>
  <c r="H340" i="1" s="1"/>
  <c r="F339" i="1"/>
  <c r="G339" i="1" s="1"/>
  <c r="H339" i="1" s="1"/>
  <c r="F338" i="1"/>
  <c r="G338" i="1" s="1"/>
  <c r="H338" i="1" s="1"/>
  <c r="F337" i="1"/>
  <c r="G337" i="1" s="1"/>
  <c r="H337" i="1" s="1"/>
  <c r="F336" i="1"/>
  <c r="G336" i="1" s="1"/>
  <c r="H336" i="1" s="1"/>
  <c r="F335" i="1"/>
  <c r="G335" i="1" s="1"/>
  <c r="H335" i="1" s="1"/>
  <c r="F334" i="1"/>
  <c r="G334" i="1" s="1"/>
  <c r="H334" i="1" s="1"/>
  <c r="F333" i="1"/>
  <c r="G333" i="1" s="1"/>
  <c r="H333" i="1" s="1"/>
  <c r="F332" i="1"/>
  <c r="G332" i="1" s="1"/>
  <c r="H332" i="1" s="1"/>
  <c r="F331" i="1"/>
  <c r="G331" i="1" s="1"/>
  <c r="H331" i="1" s="1"/>
  <c r="F330" i="1"/>
  <c r="G330" i="1" s="1"/>
  <c r="H330" i="1" s="1"/>
  <c r="F329" i="1"/>
  <c r="G329" i="1" s="1"/>
  <c r="H329" i="1" s="1"/>
  <c r="F328" i="1"/>
  <c r="G328" i="1" s="1"/>
  <c r="H328" i="1" s="1"/>
  <c r="F327" i="1"/>
  <c r="G327" i="1" s="1"/>
  <c r="H327" i="1" s="1"/>
  <c r="F326" i="1"/>
  <c r="G326" i="1" s="1"/>
  <c r="H326" i="1" s="1"/>
  <c r="F325" i="1"/>
  <c r="G325" i="1" s="1"/>
  <c r="H325" i="1" s="1"/>
  <c r="F324" i="1"/>
  <c r="G324" i="1" s="1"/>
  <c r="H324" i="1" s="1"/>
  <c r="F323" i="1"/>
  <c r="G323" i="1" s="1"/>
  <c r="H323" i="1" s="1"/>
  <c r="F322" i="1"/>
  <c r="G322" i="1" s="1"/>
  <c r="H322" i="1" s="1"/>
  <c r="F321" i="1"/>
  <c r="G321" i="1" s="1"/>
  <c r="H321" i="1" s="1"/>
  <c r="F320" i="1"/>
  <c r="G320" i="1" s="1"/>
  <c r="H320" i="1" s="1"/>
  <c r="F319" i="1"/>
  <c r="G319" i="1" s="1"/>
  <c r="H319" i="1" s="1"/>
  <c r="F318" i="1"/>
  <c r="G318" i="1" s="1"/>
  <c r="H318" i="1" s="1"/>
  <c r="F317" i="1"/>
  <c r="G317" i="1" s="1"/>
  <c r="H317" i="1" s="1"/>
  <c r="F316" i="1"/>
  <c r="G316" i="1" s="1"/>
  <c r="H316" i="1" s="1"/>
  <c r="F315" i="1"/>
  <c r="G315" i="1" s="1"/>
  <c r="H315" i="1" s="1"/>
  <c r="F314" i="1"/>
  <c r="G314" i="1" s="1"/>
  <c r="H314" i="1" s="1"/>
  <c r="F313" i="1"/>
  <c r="G313" i="1" s="1"/>
  <c r="H313" i="1" s="1"/>
  <c r="F312" i="1"/>
  <c r="G312" i="1" s="1"/>
  <c r="H312" i="1" s="1"/>
  <c r="F311" i="1"/>
  <c r="G311" i="1" s="1"/>
  <c r="H311" i="1" s="1"/>
  <c r="F310" i="1"/>
  <c r="G310" i="1" s="1"/>
  <c r="H310" i="1" s="1"/>
  <c r="F309" i="1"/>
  <c r="G309" i="1" s="1"/>
  <c r="H309" i="1" s="1"/>
  <c r="F308" i="1"/>
  <c r="G308" i="1" s="1"/>
  <c r="H308" i="1" s="1"/>
  <c r="F307" i="1"/>
  <c r="G307" i="1" s="1"/>
  <c r="H307" i="1" s="1"/>
  <c r="F306" i="1"/>
  <c r="G306" i="1" s="1"/>
  <c r="H306" i="1" s="1"/>
  <c r="F305" i="1"/>
  <c r="G305" i="1" s="1"/>
  <c r="H305" i="1" s="1"/>
  <c r="F304" i="1"/>
  <c r="G304" i="1" s="1"/>
  <c r="H304" i="1" s="1"/>
  <c r="F303" i="1"/>
  <c r="G303" i="1" s="1"/>
  <c r="H303" i="1" s="1"/>
  <c r="F302" i="1"/>
  <c r="G302" i="1" s="1"/>
  <c r="H302" i="1" s="1"/>
  <c r="F301" i="1"/>
  <c r="G301" i="1" s="1"/>
  <c r="H301" i="1" s="1"/>
  <c r="F300" i="1"/>
  <c r="G300" i="1" s="1"/>
  <c r="H300" i="1" s="1"/>
  <c r="F299" i="1"/>
  <c r="G299" i="1" s="1"/>
  <c r="H299" i="1" s="1"/>
  <c r="F298" i="1"/>
  <c r="G298" i="1" s="1"/>
  <c r="H298" i="1" s="1"/>
  <c r="F297" i="1"/>
  <c r="G297" i="1" s="1"/>
  <c r="H297" i="1" s="1"/>
  <c r="F296" i="1"/>
  <c r="G296" i="1" s="1"/>
  <c r="H296" i="1" s="1"/>
  <c r="F295" i="1"/>
  <c r="G295" i="1" s="1"/>
  <c r="H295" i="1" s="1"/>
  <c r="F294" i="1"/>
  <c r="G294" i="1" s="1"/>
  <c r="H294" i="1" s="1"/>
  <c r="F293" i="1"/>
  <c r="G293" i="1" s="1"/>
  <c r="H293" i="1" s="1"/>
  <c r="F292" i="1"/>
  <c r="G292" i="1" s="1"/>
  <c r="H292" i="1" s="1"/>
  <c r="F291" i="1"/>
  <c r="G291" i="1" s="1"/>
  <c r="H291" i="1" s="1"/>
  <c r="F290" i="1"/>
  <c r="G290" i="1" s="1"/>
  <c r="H290" i="1" s="1"/>
  <c r="F289" i="1"/>
  <c r="G289" i="1" s="1"/>
  <c r="H289" i="1" s="1"/>
  <c r="F288" i="1"/>
  <c r="G288" i="1" s="1"/>
  <c r="H288" i="1" s="1"/>
  <c r="F287" i="1"/>
  <c r="G287" i="1" s="1"/>
  <c r="H287" i="1" s="1"/>
  <c r="F286" i="1"/>
  <c r="G286" i="1" s="1"/>
  <c r="H286" i="1" s="1"/>
  <c r="F285" i="1"/>
  <c r="G285" i="1" s="1"/>
  <c r="H285" i="1" s="1"/>
  <c r="F284" i="1"/>
  <c r="G284" i="1" s="1"/>
  <c r="H284" i="1" s="1"/>
  <c r="F283" i="1"/>
  <c r="G283" i="1" s="1"/>
  <c r="H283" i="1" s="1"/>
  <c r="F282" i="1"/>
  <c r="G282" i="1" s="1"/>
  <c r="H282" i="1" s="1"/>
  <c r="F281" i="1"/>
  <c r="G281" i="1" s="1"/>
  <c r="H281" i="1" s="1"/>
  <c r="F280" i="1"/>
  <c r="G280" i="1" s="1"/>
  <c r="H280" i="1" s="1"/>
  <c r="F279" i="1"/>
  <c r="G279" i="1" s="1"/>
  <c r="H279" i="1" s="1"/>
  <c r="F278" i="1"/>
  <c r="G278" i="1" s="1"/>
  <c r="H278" i="1" s="1"/>
  <c r="F277" i="1"/>
  <c r="G277" i="1" s="1"/>
  <c r="H277" i="1" s="1"/>
  <c r="F276" i="1"/>
  <c r="G276" i="1" s="1"/>
  <c r="H276" i="1" s="1"/>
  <c r="F275" i="1"/>
  <c r="G275" i="1" s="1"/>
  <c r="H275" i="1" s="1"/>
  <c r="F274" i="1"/>
  <c r="G274" i="1" s="1"/>
  <c r="H274" i="1" s="1"/>
  <c r="F273" i="1"/>
  <c r="G273" i="1" s="1"/>
  <c r="H273" i="1" s="1"/>
  <c r="F272" i="1"/>
  <c r="G272" i="1" s="1"/>
  <c r="H272" i="1" s="1"/>
  <c r="F271" i="1"/>
  <c r="G271" i="1" s="1"/>
  <c r="H271" i="1" s="1"/>
  <c r="F270" i="1"/>
  <c r="G270" i="1" s="1"/>
  <c r="H270" i="1" s="1"/>
  <c r="F269" i="1"/>
  <c r="G269" i="1" s="1"/>
  <c r="H269" i="1" s="1"/>
  <c r="F268" i="1"/>
  <c r="G268" i="1" s="1"/>
  <c r="H268" i="1" s="1"/>
  <c r="F267" i="1"/>
  <c r="G267" i="1" s="1"/>
  <c r="H267" i="1" s="1"/>
  <c r="F266" i="1"/>
  <c r="G266" i="1" s="1"/>
  <c r="H266" i="1" s="1"/>
  <c r="F265" i="1"/>
  <c r="G265" i="1" s="1"/>
  <c r="H265" i="1" s="1"/>
  <c r="F264" i="1"/>
  <c r="G264" i="1" s="1"/>
  <c r="H264" i="1" s="1"/>
  <c r="F263" i="1"/>
  <c r="G263" i="1" s="1"/>
  <c r="H263" i="1" s="1"/>
  <c r="F262" i="1"/>
  <c r="G262" i="1" s="1"/>
  <c r="H262" i="1" s="1"/>
  <c r="F261" i="1"/>
  <c r="G261" i="1" s="1"/>
  <c r="H261" i="1" s="1"/>
  <c r="F260" i="1"/>
  <c r="G260" i="1" s="1"/>
  <c r="H260" i="1" s="1"/>
  <c r="F259" i="1"/>
  <c r="G259" i="1" s="1"/>
  <c r="H259" i="1" s="1"/>
  <c r="F258" i="1"/>
  <c r="G258" i="1" s="1"/>
  <c r="H258" i="1" s="1"/>
  <c r="F257" i="1"/>
  <c r="G257" i="1" s="1"/>
  <c r="H257" i="1" s="1"/>
  <c r="F256" i="1"/>
  <c r="G256" i="1" s="1"/>
  <c r="H256" i="1" s="1"/>
  <c r="F255" i="1"/>
  <c r="G255" i="1" s="1"/>
  <c r="H255" i="1" s="1"/>
  <c r="F254" i="1"/>
  <c r="G254" i="1" s="1"/>
  <c r="H254" i="1" s="1"/>
  <c r="F253" i="1"/>
  <c r="G253" i="1" s="1"/>
  <c r="H253" i="1" s="1"/>
  <c r="F252" i="1"/>
  <c r="G252" i="1" s="1"/>
  <c r="H252" i="1" s="1"/>
  <c r="F251" i="1"/>
  <c r="G251" i="1" s="1"/>
  <c r="H251" i="1" s="1"/>
  <c r="F250" i="1"/>
  <c r="G250" i="1" s="1"/>
  <c r="H250" i="1" s="1"/>
  <c r="F249" i="1"/>
  <c r="G249" i="1" s="1"/>
  <c r="H249" i="1" s="1"/>
  <c r="F248" i="1"/>
  <c r="G248" i="1" s="1"/>
  <c r="H248" i="1" s="1"/>
  <c r="F247" i="1"/>
  <c r="G247" i="1" s="1"/>
  <c r="H247" i="1" s="1"/>
  <c r="F246" i="1"/>
  <c r="G246" i="1" s="1"/>
  <c r="H246" i="1" s="1"/>
  <c r="F245" i="1"/>
  <c r="G245" i="1" s="1"/>
  <c r="H245" i="1" s="1"/>
  <c r="F244" i="1"/>
  <c r="G244" i="1" s="1"/>
  <c r="H244" i="1" s="1"/>
  <c r="F243" i="1"/>
  <c r="G243" i="1" s="1"/>
  <c r="H243" i="1" s="1"/>
  <c r="F242" i="1"/>
  <c r="G242" i="1" s="1"/>
  <c r="H242" i="1" s="1"/>
  <c r="F241" i="1"/>
  <c r="G241" i="1" s="1"/>
  <c r="H241" i="1" s="1"/>
  <c r="F240" i="1"/>
  <c r="G240" i="1" s="1"/>
  <c r="H240" i="1" s="1"/>
  <c r="F239" i="1"/>
  <c r="G239" i="1" s="1"/>
  <c r="H239" i="1" s="1"/>
  <c r="F238" i="1"/>
  <c r="G238" i="1" s="1"/>
  <c r="H238" i="1" s="1"/>
  <c r="F237" i="1"/>
  <c r="G237" i="1" s="1"/>
  <c r="H237" i="1" s="1"/>
  <c r="F236" i="1"/>
  <c r="G236" i="1" s="1"/>
  <c r="H236" i="1" s="1"/>
  <c r="F235" i="1"/>
  <c r="G235" i="1" s="1"/>
  <c r="H235" i="1" s="1"/>
  <c r="F234" i="1"/>
  <c r="G234" i="1" s="1"/>
  <c r="H234" i="1" s="1"/>
  <c r="F233" i="1"/>
  <c r="G233" i="1" s="1"/>
  <c r="H233" i="1" s="1"/>
  <c r="F232" i="1"/>
  <c r="G232" i="1" s="1"/>
  <c r="H232" i="1" s="1"/>
  <c r="F231" i="1"/>
  <c r="G231" i="1" s="1"/>
  <c r="H231" i="1" s="1"/>
  <c r="F230" i="1"/>
  <c r="G230" i="1" s="1"/>
  <c r="H230" i="1" s="1"/>
  <c r="F229" i="1"/>
  <c r="G229" i="1" s="1"/>
  <c r="H229" i="1" s="1"/>
  <c r="F228" i="1"/>
  <c r="G228" i="1" s="1"/>
  <c r="H228" i="1" s="1"/>
  <c r="F227" i="1"/>
  <c r="G227" i="1" s="1"/>
  <c r="H227" i="1" s="1"/>
  <c r="F226" i="1"/>
  <c r="G226" i="1" s="1"/>
  <c r="H226" i="1" s="1"/>
  <c r="F225" i="1"/>
  <c r="G225" i="1" s="1"/>
  <c r="H225" i="1" s="1"/>
  <c r="F224" i="1"/>
  <c r="G224" i="1" s="1"/>
  <c r="H224" i="1" s="1"/>
  <c r="F223" i="1"/>
  <c r="G223" i="1" s="1"/>
  <c r="H223" i="1" s="1"/>
  <c r="F222" i="1"/>
  <c r="G222" i="1" s="1"/>
  <c r="H222" i="1" s="1"/>
  <c r="F221" i="1"/>
  <c r="G221" i="1" s="1"/>
  <c r="H221" i="1" s="1"/>
  <c r="F220" i="1"/>
  <c r="G220" i="1" s="1"/>
  <c r="H220" i="1" s="1"/>
  <c r="F219" i="1"/>
  <c r="G219" i="1" s="1"/>
  <c r="H219" i="1" s="1"/>
  <c r="F218" i="1"/>
  <c r="G218" i="1" s="1"/>
  <c r="H218" i="1" s="1"/>
  <c r="F217" i="1"/>
  <c r="G217" i="1" s="1"/>
  <c r="H217" i="1" s="1"/>
  <c r="F216" i="1"/>
  <c r="G216" i="1" s="1"/>
  <c r="H216" i="1" s="1"/>
  <c r="F215" i="1"/>
  <c r="G215" i="1" s="1"/>
  <c r="H215" i="1" s="1"/>
  <c r="F214" i="1"/>
  <c r="G214" i="1" s="1"/>
  <c r="H214" i="1" s="1"/>
  <c r="F213" i="1"/>
  <c r="G213" i="1" s="1"/>
  <c r="H213" i="1" s="1"/>
  <c r="F212" i="1"/>
  <c r="G212" i="1" s="1"/>
  <c r="H212" i="1" s="1"/>
  <c r="F211" i="1"/>
  <c r="G211" i="1" s="1"/>
  <c r="H211" i="1" s="1"/>
  <c r="F210" i="1"/>
  <c r="G210" i="1" s="1"/>
  <c r="H210" i="1" s="1"/>
  <c r="F209" i="1"/>
  <c r="G209" i="1" s="1"/>
  <c r="H209" i="1" s="1"/>
  <c r="F208" i="1"/>
  <c r="G208" i="1" s="1"/>
  <c r="H208" i="1" s="1"/>
  <c r="F207" i="1"/>
  <c r="G207" i="1" s="1"/>
  <c r="H207" i="1" s="1"/>
  <c r="F206" i="1"/>
  <c r="G206" i="1" s="1"/>
  <c r="H206" i="1" s="1"/>
  <c r="F205" i="1"/>
  <c r="G205" i="1" s="1"/>
  <c r="H205" i="1" s="1"/>
  <c r="F204" i="1"/>
  <c r="G204" i="1" s="1"/>
  <c r="H204" i="1" s="1"/>
  <c r="F203" i="1"/>
  <c r="G203" i="1" s="1"/>
  <c r="H203" i="1" s="1"/>
  <c r="F202" i="1"/>
  <c r="G202" i="1" s="1"/>
  <c r="H202" i="1" s="1"/>
  <c r="F201" i="1"/>
  <c r="G201" i="1" s="1"/>
  <c r="H201" i="1" s="1"/>
  <c r="F200" i="1"/>
  <c r="G200" i="1" s="1"/>
  <c r="H200" i="1" s="1"/>
  <c r="F199" i="1"/>
  <c r="G199" i="1" s="1"/>
  <c r="H199" i="1" s="1"/>
  <c r="F198" i="1"/>
  <c r="G198" i="1" s="1"/>
  <c r="H198" i="1" s="1"/>
  <c r="F197" i="1"/>
  <c r="G197" i="1" s="1"/>
  <c r="H197" i="1" s="1"/>
  <c r="F196" i="1"/>
  <c r="G196" i="1" s="1"/>
  <c r="H196" i="1" s="1"/>
  <c r="F195" i="1"/>
  <c r="G195" i="1" s="1"/>
  <c r="H195" i="1" s="1"/>
  <c r="F194" i="1"/>
  <c r="G194" i="1" s="1"/>
  <c r="H194" i="1" s="1"/>
  <c r="F193" i="1"/>
  <c r="G193" i="1" s="1"/>
  <c r="H193" i="1" s="1"/>
  <c r="F192" i="1"/>
  <c r="G192" i="1" s="1"/>
  <c r="H192" i="1" s="1"/>
  <c r="F191" i="1"/>
  <c r="G191" i="1" s="1"/>
  <c r="H191" i="1" s="1"/>
  <c r="F190" i="1"/>
  <c r="G190" i="1" s="1"/>
  <c r="H190" i="1" s="1"/>
  <c r="F189" i="1"/>
  <c r="G189" i="1" s="1"/>
  <c r="H189" i="1" s="1"/>
  <c r="F188" i="1"/>
  <c r="G188" i="1" s="1"/>
  <c r="H188" i="1" s="1"/>
  <c r="F187" i="1"/>
  <c r="G187" i="1" s="1"/>
  <c r="H187" i="1" s="1"/>
  <c r="F186" i="1"/>
  <c r="G186" i="1" s="1"/>
  <c r="H186" i="1" s="1"/>
  <c r="F185" i="1"/>
  <c r="G185" i="1" s="1"/>
  <c r="H185" i="1" s="1"/>
  <c r="F184" i="1"/>
  <c r="G184" i="1" s="1"/>
  <c r="H184" i="1" s="1"/>
  <c r="F183" i="1"/>
  <c r="G183" i="1" s="1"/>
  <c r="H183" i="1" s="1"/>
  <c r="F182" i="1"/>
  <c r="G182" i="1" s="1"/>
  <c r="H182" i="1" s="1"/>
  <c r="F181" i="1"/>
  <c r="G181" i="1" s="1"/>
  <c r="H181" i="1" s="1"/>
  <c r="F180" i="1"/>
  <c r="G180" i="1" s="1"/>
  <c r="H180" i="1" s="1"/>
  <c r="F179" i="1"/>
  <c r="G179" i="1" s="1"/>
  <c r="H179" i="1" s="1"/>
  <c r="F178" i="1"/>
  <c r="G178" i="1" s="1"/>
  <c r="H178" i="1" s="1"/>
  <c r="F177" i="1"/>
  <c r="G177" i="1" s="1"/>
  <c r="H177" i="1" s="1"/>
  <c r="F176" i="1"/>
  <c r="G176" i="1" s="1"/>
  <c r="H176" i="1" s="1"/>
  <c r="F175" i="1"/>
  <c r="G175" i="1" s="1"/>
  <c r="H175" i="1" s="1"/>
  <c r="F174" i="1"/>
  <c r="G174" i="1" s="1"/>
  <c r="H174" i="1" s="1"/>
  <c r="F173" i="1"/>
  <c r="G173" i="1" s="1"/>
  <c r="H173" i="1" s="1"/>
  <c r="F172" i="1"/>
  <c r="G172" i="1" s="1"/>
  <c r="H172" i="1" s="1"/>
  <c r="F171" i="1"/>
  <c r="G171" i="1" s="1"/>
  <c r="H171" i="1" s="1"/>
  <c r="F170" i="1"/>
  <c r="G170" i="1" s="1"/>
  <c r="H170" i="1" s="1"/>
  <c r="F169" i="1"/>
  <c r="G169" i="1" s="1"/>
  <c r="H169" i="1" s="1"/>
  <c r="F168" i="1"/>
  <c r="G168" i="1" s="1"/>
  <c r="H168" i="1" s="1"/>
  <c r="F167" i="1"/>
  <c r="G167" i="1" s="1"/>
  <c r="H167" i="1" s="1"/>
  <c r="F166" i="1"/>
  <c r="G166" i="1" s="1"/>
  <c r="H166" i="1" s="1"/>
  <c r="F165" i="1"/>
  <c r="G165" i="1" s="1"/>
  <c r="H165" i="1" s="1"/>
  <c r="F164" i="1"/>
  <c r="G164" i="1" s="1"/>
  <c r="H164" i="1" s="1"/>
  <c r="F163" i="1"/>
  <c r="G163" i="1" s="1"/>
  <c r="H163" i="1" s="1"/>
  <c r="F162" i="1"/>
  <c r="G162" i="1" s="1"/>
  <c r="H162" i="1" s="1"/>
  <c r="F161" i="1"/>
  <c r="G161" i="1" s="1"/>
  <c r="H161" i="1" s="1"/>
  <c r="F160" i="1"/>
  <c r="G160" i="1" s="1"/>
  <c r="H160" i="1" s="1"/>
  <c r="F159" i="1"/>
  <c r="G159" i="1" s="1"/>
  <c r="H159" i="1" s="1"/>
  <c r="F158" i="1"/>
  <c r="G158" i="1" s="1"/>
  <c r="H158" i="1" s="1"/>
  <c r="F157" i="1"/>
  <c r="G157" i="1" s="1"/>
  <c r="H157" i="1" s="1"/>
  <c r="F156" i="1"/>
  <c r="G156" i="1" s="1"/>
  <c r="H156" i="1" s="1"/>
  <c r="F155" i="1"/>
  <c r="G155" i="1" s="1"/>
  <c r="H155" i="1" s="1"/>
  <c r="F154" i="1"/>
  <c r="G154" i="1" s="1"/>
  <c r="H154" i="1" s="1"/>
  <c r="F153" i="1"/>
  <c r="G153" i="1" s="1"/>
  <c r="H153" i="1" s="1"/>
  <c r="F152" i="1"/>
  <c r="G152" i="1" s="1"/>
  <c r="H152" i="1" s="1"/>
  <c r="F151" i="1"/>
  <c r="G151" i="1" s="1"/>
  <c r="H151" i="1" s="1"/>
  <c r="F150" i="1"/>
  <c r="G150" i="1" s="1"/>
  <c r="H150" i="1" s="1"/>
  <c r="F149" i="1"/>
  <c r="G149" i="1" s="1"/>
  <c r="H149" i="1" s="1"/>
  <c r="F148" i="1"/>
  <c r="G148" i="1" s="1"/>
  <c r="H148" i="1" s="1"/>
  <c r="F147" i="1"/>
  <c r="G147" i="1" s="1"/>
  <c r="H147" i="1" s="1"/>
  <c r="F146" i="1"/>
  <c r="G146" i="1" s="1"/>
  <c r="H146" i="1" s="1"/>
  <c r="F145" i="1"/>
  <c r="G145" i="1" s="1"/>
  <c r="H145" i="1" s="1"/>
  <c r="F144" i="1"/>
  <c r="G144" i="1" s="1"/>
  <c r="H144" i="1" s="1"/>
  <c r="F143" i="1"/>
  <c r="G143" i="1" s="1"/>
  <c r="H143" i="1" s="1"/>
  <c r="F142" i="1"/>
  <c r="G142" i="1" s="1"/>
  <c r="H142" i="1" s="1"/>
  <c r="F141" i="1"/>
  <c r="G141" i="1" s="1"/>
  <c r="H141" i="1" s="1"/>
  <c r="F140" i="1"/>
  <c r="G140" i="1" s="1"/>
  <c r="H140" i="1" s="1"/>
  <c r="F139" i="1"/>
  <c r="G139" i="1" s="1"/>
  <c r="H139" i="1" s="1"/>
  <c r="F138" i="1"/>
  <c r="G138" i="1" s="1"/>
  <c r="H138" i="1" s="1"/>
  <c r="F137" i="1"/>
  <c r="G137" i="1" s="1"/>
  <c r="H137" i="1" s="1"/>
  <c r="F136" i="1"/>
  <c r="G136" i="1" s="1"/>
  <c r="H136" i="1" s="1"/>
  <c r="F135" i="1"/>
  <c r="G135" i="1" s="1"/>
  <c r="H135" i="1" s="1"/>
  <c r="F134" i="1"/>
  <c r="G134" i="1" s="1"/>
  <c r="H134" i="1" s="1"/>
  <c r="F133" i="1"/>
  <c r="G133" i="1" s="1"/>
  <c r="H133" i="1" s="1"/>
  <c r="F132" i="1"/>
  <c r="G132" i="1" s="1"/>
  <c r="H132" i="1" s="1"/>
  <c r="F131" i="1"/>
  <c r="G131" i="1" s="1"/>
  <c r="H131" i="1" s="1"/>
  <c r="F130" i="1"/>
  <c r="G130" i="1" s="1"/>
  <c r="H130" i="1" s="1"/>
  <c r="F129" i="1"/>
  <c r="G129" i="1" s="1"/>
  <c r="H129" i="1" s="1"/>
  <c r="F128" i="1"/>
  <c r="G128" i="1" s="1"/>
  <c r="H128" i="1" s="1"/>
  <c r="F127" i="1"/>
  <c r="G127" i="1" s="1"/>
  <c r="H127" i="1" s="1"/>
  <c r="F126" i="1"/>
  <c r="G126" i="1" s="1"/>
  <c r="H126" i="1" s="1"/>
  <c r="F125" i="1"/>
  <c r="G125" i="1" s="1"/>
  <c r="H125" i="1" s="1"/>
  <c r="F124" i="1"/>
  <c r="G124" i="1" s="1"/>
  <c r="H124" i="1" s="1"/>
  <c r="F123" i="1"/>
  <c r="G123" i="1" s="1"/>
  <c r="H123" i="1" s="1"/>
  <c r="F122" i="1"/>
  <c r="G122" i="1" s="1"/>
  <c r="H122" i="1" s="1"/>
  <c r="F121" i="1"/>
  <c r="G121" i="1" s="1"/>
  <c r="H121" i="1" s="1"/>
  <c r="F120" i="1"/>
  <c r="G120" i="1" s="1"/>
  <c r="H120" i="1" s="1"/>
  <c r="F119" i="1"/>
  <c r="G119" i="1" s="1"/>
  <c r="H119" i="1" s="1"/>
  <c r="F118" i="1"/>
  <c r="G118" i="1" s="1"/>
  <c r="H118" i="1" s="1"/>
  <c r="F117" i="1"/>
  <c r="G117" i="1" s="1"/>
  <c r="H117" i="1" s="1"/>
  <c r="F116" i="1"/>
  <c r="G116" i="1" s="1"/>
  <c r="H116" i="1" s="1"/>
  <c r="F115" i="1"/>
  <c r="G115" i="1" s="1"/>
  <c r="H115" i="1" s="1"/>
  <c r="F114" i="1"/>
  <c r="G114" i="1" s="1"/>
  <c r="H114" i="1" s="1"/>
  <c r="F113" i="1"/>
  <c r="G113" i="1" s="1"/>
  <c r="H113" i="1" s="1"/>
  <c r="F112" i="1"/>
  <c r="G112" i="1" s="1"/>
  <c r="H112" i="1" s="1"/>
  <c r="F111" i="1"/>
  <c r="G111" i="1" s="1"/>
  <c r="H111" i="1" s="1"/>
  <c r="F110" i="1"/>
  <c r="G110" i="1" s="1"/>
  <c r="H110" i="1" s="1"/>
  <c r="F109" i="1"/>
  <c r="G109" i="1" s="1"/>
  <c r="H109" i="1" s="1"/>
  <c r="F108" i="1"/>
  <c r="G108" i="1" s="1"/>
  <c r="H108" i="1" s="1"/>
  <c r="F107" i="1"/>
  <c r="G107" i="1" s="1"/>
  <c r="H107" i="1" s="1"/>
  <c r="F106" i="1"/>
  <c r="G106" i="1" s="1"/>
  <c r="H106" i="1" s="1"/>
  <c r="F105" i="1"/>
  <c r="G105" i="1" s="1"/>
  <c r="H105" i="1" s="1"/>
  <c r="F104" i="1"/>
  <c r="G104" i="1" s="1"/>
  <c r="H104" i="1" s="1"/>
  <c r="F103" i="1"/>
  <c r="G103" i="1" s="1"/>
  <c r="H103" i="1" s="1"/>
  <c r="F102" i="1"/>
  <c r="G102" i="1" s="1"/>
  <c r="H102" i="1" s="1"/>
  <c r="F101" i="1"/>
  <c r="G101" i="1" s="1"/>
  <c r="H101" i="1" s="1"/>
  <c r="F100" i="1"/>
  <c r="G100" i="1" s="1"/>
  <c r="H100" i="1" s="1"/>
  <c r="F99" i="1"/>
  <c r="G99" i="1" s="1"/>
  <c r="H99" i="1" s="1"/>
  <c r="F98" i="1"/>
  <c r="G98" i="1" s="1"/>
  <c r="H98" i="1" s="1"/>
  <c r="F97" i="1"/>
  <c r="G97" i="1" s="1"/>
  <c r="H97" i="1" s="1"/>
  <c r="F96" i="1"/>
  <c r="G96" i="1" s="1"/>
  <c r="H96" i="1" s="1"/>
  <c r="F95" i="1"/>
  <c r="G95" i="1" s="1"/>
  <c r="H95" i="1" s="1"/>
  <c r="F94" i="1"/>
  <c r="G94" i="1" s="1"/>
  <c r="H94" i="1" s="1"/>
  <c r="F93" i="1"/>
  <c r="G93" i="1" s="1"/>
  <c r="H93" i="1" s="1"/>
  <c r="F92" i="1"/>
  <c r="G92" i="1" s="1"/>
  <c r="H92" i="1" s="1"/>
  <c r="F91" i="1"/>
  <c r="G91" i="1" s="1"/>
  <c r="H91" i="1" s="1"/>
  <c r="F90" i="1"/>
  <c r="G90" i="1" s="1"/>
  <c r="H90" i="1" s="1"/>
  <c r="F89" i="1"/>
  <c r="G89" i="1" s="1"/>
  <c r="H89" i="1" s="1"/>
  <c r="F88" i="1"/>
  <c r="G88" i="1" s="1"/>
  <c r="H88" i="1" s="1"/>
  <c r="F87" i="1"/>
  <c r="G87" i="1" s="1"/>
  <c r="H87" i="1" s="1"/>
  <c r="F86" i="1"/>
  <c r="G86" i="1" s="1"/>
  <c r="H86" i="1" s="1"/>
  <c r="F85" i="1"/>
  <c r="G85" i="1" s="1"/>
  <c r="H85" i="1" s="1"/>
  <c r="F84" i="1"/>
  <c r="G84" i="1" s="1"/>
  <c r="H84" i="1" s="1"/>
  <c r="F83" i="1"/>
  <c r="G83" i="1" s="1"/>
  <c r="H83" i="1" s="1"/>
  <c r="F82" i="1"/>
  <c r="G82" i="1" s="1"/>
  <c r="H82" i="1" s="1"/>
  <c r="F81" i="1"/>
  <c r="G81" i="1" s="1"/>
  <c r="H81" i="1" s="1"/>
  <c r="F80" i="1"/>
  <c r="G80" i="1" s="1"/>
  <c r="H80" i="1" s="1"/>
  <c r="F79" i="1"/>
  <c r="G79" i="1" s="1"/>
  <c r="H79" i="1" s="1"/>
  <c r="F78" i="1"/>
  <c r="G78" i="1" s="1"/>
  <c r="H78" i="1" s="1"/>
  <c r="F77" i="1"/>
  <c r="G77" i="1" s="1"/>
  <c r="H77" i="1" s="1"/>
  <c r="F76" i="1"/>
  <c r="G76" i="1" s="1"/>
  <c r="H76" i="1" s="1"/>
  <c r="F75" i="1"/>
  <c r="G75" i="1" s="1"/>
  <c r="H75" i="1" s="1"/>
  <c r="F74" i="1"/>
  <c r="G74" i="1" s="1"/>
  <c r="H74" i="1" s="1"/>
  <c r="F73" i="1"/>
  <c r="G73" i="1" s="1"/>
  <c r="H73" i="1" s="1"/>
  <c r="F72" i="1"/>
  <c r="G72" i="1" s="1"/>
  <c r="H72" i="1" s="1"/>
  <c r="F71" i="1"/>
  <c r="G71" i="1" s="1"/>
  <c r="H71" i="1" s="1"/>
  <c r="F70" i="1"/>
  <c r="G70" i="1" s="1"/>
  <c r="H70" i="1" s="1"/>
  <c r="F69" i="1"/>
  <c r="G69" i="1" s="1"/>
  <c r="H69" i="1" s="1"/>
  <c r="F68" i="1"/>
  <c r="G68" i="1" s="1"/>
  <c r="H68" i="1" s="1"/>
  <c r="F67" i="1"/>
  <c r="G67" i="1" s="1"/>
  <c r="H67" i="1" s="1"/>
  <c r="F66" i="1"/>
  <c r="G66" i="1" s="1"/>
  <c r="H66" i="1" s="1"/>
  <c r="F65" i="1"/>
  <c r="G65" i="1" s="1"/>
  <c r="H65" i="1" s="1"/>
  <c r="F64" i="1"/>
  <c r="G64" i="1" s="1"/>
  <c r="H64" i="1" s="1"/>
  <c r="F63" i="1"/>
  <c r="G63" i="1" s="1"/>
  <c r="H63" i="1" s="1"/>
  <c r="F62" i="1"/>
  <c r="G62" i="1" s="1"/>
  <c r="H62" i="1" s="1"/>
  <c r="F61" i="1"/>
  <c r="G61" i="1" s="1"/>
  <c r="H61" i="1" s="1"/>
  <c r="F60" i="1"/>
  <c r="G60" i="1" s="1"/>
  <c r="H60" i="1" s="1"/>
  <c r="F59" i="1"/>
  <c r="G59" i="1" s="1"/>
  <c r="H59" i="1" s="1"/>
  <c r="F58" i="1"/>
  <c r="G58" i="1" s="1"/>
  <c r="H58" i="1" s="1"/>
  <c r="F57" i="1"/>
  <c r="G57" i="1" s="1"/>
  <c r="H57" i="1" s="1"/>
  <c r="F56" i="1"/>
  <c r="G56" i="1" s="1"/>
  <c r="H56" i="1" s="1"/>
  <c r="F55" i="1"/>
  <c r="G55" i="1" s="1"/>
  <c r="H55" i="1" s="1"/>
  <c r="F54" i="1"/>
  <c r="G54" i="1" s="1"/>
  <c r="H54" i="1" s="1"/>
  <c r="F53" i="1"/>
  <c r="G53" i="1" s="1"/>
  <c r="H53" i="1" s="1"/>
  <c r="F52" i="1"/>
  <c r="G52" i="1" s="1"/>
  <c r="H52" i="1" s="1"/>
  <c r="F51" i="1"/>
  <c r="G51" i="1" s="1"/>
  <c r="H51" i="1" s="1"/>
  <c r="F50" i="1"/>
  <c r="G50" i="1" s="1"/>
  <c r="H50" i="1" s="1"/>
  <c r="F49" i="1"/>
  <c r="G49" i="1" s="1"/>
  <c r="H49" i="1" s="1"/>
  <c r="F48" i="1"/>
  <c r="G48" i="1" s="1"/>
  <c r="H48" i="1" s="1"/>
  <c r="F47" i="1"/>
  <c r="G47" i="1" s="1"/>
  <c r="H47" i="1" s="1"/>
  <c r="F46" i="1"/>
  <c r="G46" i="1" s="1"/>
  <c r="H46" i="1" s="1"/>
  <c r="F45" i="1"/>
  <c r="G45" i="1" s="1"/>
  <c r="H45" i="1" s="1"/>
  <c r="F44" i="1"/>
  <c r="G44" i="1" s="1"/>
  <c r="H44" i="1" s="1"/>
  <c r="F43" i="1"/>
  <c r="G43" i="1" s="1"/>
  <c r="H43" i="1" s="1"/>
  <c r="F42" i="1"/>
  <c r="G42" i="1" s="1"/>
  <c r="H42" i="1" s="1"/>
  <c r="F41" i="1"/>
  <c r="G41" i="1" s="1"/>
  <c r="H41" i="1" s="1"/>
  <c r="F40" i="1"/>
  <c r="G40" i="1" s="1"/>
  <c r="H40" i="1" s="1"/>
  <c r="F39" i="1"/>
  <c r="G39" i="1" s="1"/>
  <c r="H39" i="1" s="1"/>
  <c r="F38" i="1"/>
  <c r="G38" i="1" s="1"/>
  <c r="H38" i="1" s="1"/>
  <c r="F37" i="1"/>
  <c r="G37" i="1" s="1"/>
  <c r="H37" i="1" s="1"/>
  <c r="F36" i="1"/>
  <c r="G36" i="1" s="1"/>
  <c r="H36" i="1" s="1"/>
  <c r="F35" i="1"/>
  <c r="G35" i="1" s="1"/>
  <c r="H35" i="1" s="1"/>
  <c r="F34" i="1"/>
  <c r="G34" i="1" s="1"/>
  <c r="H34" i="1" s="1"/>
  <c r="F33" i="1"/>
  <c r="G33" i="1" s="1"/>
  <c r="H33" i="1" s="1"/>
  <c r="F32" i="1"/>
  <c r="G32" i="1" s="1"/>
  <c r="H32" i="1" s="1"/>
  <c r="F31" i="1"/>
  <c r="G31" i="1" s="1"/>
  <c r="H31" i="1" s="1"/>
  <c r="F30" i="1"/>
  <c r="G30" i="1" s="1"/>
  <c r="H30" i="1" s="1"/>
  <c r="F29" i="1"/>
  <c r="G29" i="1" s="1"/>
  <c r="H29" i="1" s="1"/>
  <c r="F28" i="1"/>
  <c r="G28" i="1" s="1"/>
  <c r="H28" i="1" s="1"/>
  <c r="F27" i="1"/>
  <c r="G27" i="1" s="1"/>
  <c r="H27" i="1" s="1"/>
  <c r="F26" i="1"/>
  <c r="G26" i="1" s="1"/>
  <c r="H26" i="1" s="1"/>
  <c r="F25" i="1"/>
  <c r="G25" i="1" s="1"/>
  <c r="H25" i="1" s="1"/>
  <c r="F24" i="1"/>
  <c r="G24" i="1" s="1"/>
  <c r="H24" i="1" s="1"/>
  <c r="F23" i="1"/>
  <c r="G23" i="1" s="1"/>
  <c r="H23" i="1" s="1"/>
  <c r="F22" i="1"/>
  <c r="G22" i="1" s="1"/>
  <c r="H22" i="1" s="1"/>
  <c r="F21" i="1"/>
  <c r="G21" i="1" s="1"/>
  <c r="H21" i="1" s="1"/>
  <c r="F20" i="1"/>
  <c r="G20" i="1" s="1"/>
  <c r="H20" i="1" s="1"/>
  <c r="F19" i="1"/>
  <c r="G19" i="1" s="1"/>
  <c r="F18" i="1"/>
  <c r="G18" i="1" s="1"/>
  <c r="F17" i="1"/>
  <c r="G17" i="1" s="1"/>
  <c r="F16" i="1"/>
  <c r="G16" i="1" s="1"/>
  <c r="F15" i="1"/>
  <c r="G15" i="1" s="1"/>
  <c r="F14" i="1"/>
  <c r="G14" i="1" s="1"/>
  <c r="F13" i="1"/>
  <c r="G13" i="1" s="1"/>
  <c r="F12" i="1"/>
  <c r="G12" i="1" s="1"/>
  <c r="F11" i="1"/>
  <c r="G11" i="1" s="1"/>
  <c r="F10" i="1"/>
  <c r="G10" i="1" s="1"/>
  <c r="F9" i="1"/>
  <c r="G9" i="1" s="1"/>
  <c r="F8" i="1"/>
  <c r="G8" i="1" s="1"/>
  <c r="F7" i="1"/>
  <c r="G7" i="1" s="1"/>
  <c r="F6" i="1"/>
  <c r="G6" i="1" s="1"/>
  <c r="F5" i="1"/>
  <c r="G5" i="1" s="1"/>
  <c r="F4" i="1"/>
  <c r="G4" i="1" s="1"/>
  <c r="F3" i="1"/>
  <c r="G3" i="1" s="1"/>
  <c r="F2" i="1"/>
  <c r="G2" i="1" s="1"/>
  <c r="G9" i="12" l="1"/>
  <c r="H9" i="12" s="1"/>
  <c r="K9" i="12"/>
  <c r="G17" i="12"/>
  <c r="H17" i="12" s="1"/>
  <c r="K17" i="12"/>
  <c r="G29" i="12"/>
  <c r="H29" i="12" s="1"/>
  <c r="K29" i="12"/>
  <c r="G37" i="12"/>
  <c r="H37" i="12" s="1"/>
  <c r="K37" i="12"/>
  <c r="G49" i="12"/>
  <c r="H49" i="12" s="1"/>
  <c r="K49" i="12"/>
  <c r="G57" i="12"/>
  <c r="H57" i="12" s="1"/>
  <c r="K57" i="12"/>
  <c r="G69" i="12"/>
  <c r="H69" i="12" s="1"/>
  <c r="K69" i="12"/>
  <c r="G77" i="12"/>
  <c r="H77" i="12" s="1"/>
  <c r="K77" i="12"/>
  <c r="G85" i="12"/>
  <c r="H85" i="12" s="1"/>
  <c r="K85" i="12"/>
  <c r="G97" i="12"/>
  <c r="H97" i="12" s="1"/>
  <c r="K97" i="12"/>
  <c r="G105" i="12"/>
  <c r="H105" i="12" s="1"/>
  <c r="K105" i="12"/>
  <c r="G113" i="12"/>
  <c r="H113" i="12" s="1"/>
  <c r="K113" i="12"/>
  <c r="G125" i="12"/>
  <c r="H125" i="12" s="1"/>
  <c r="K125" i="12"/>
  <c r="G133" i="12"/>
  <c r="H133" i="12" s="1"/>
  <c r="K133" i="12"/>
  <c r="G141" i="12"/>
  <c r="H141" i="12" s="1"/>
  <c r="K141" i="12"/>
  <c r="G153" i="12"/>
  <c r="H153" i="12" s="1"/>
  <c r="K153" i="12"/>
  <c r="G161" i="12"/>
  <c r="H161" i="12" s="1"/>
  <c r="K161" i="12"/>
  <c r="G169" i="12"/>
  <c r="H169" i="12" s="1"/>
  <c r="K169" i="12"/>
  <c r="G177" i="12"/>
  <c r="H177" i="12" s="1"/>
  <c r="K177" i="12"/>
  <c r="G185" i="12"/>
  <c r="H185" i="12" s="1"/>
  <c r="K185" i="12"/>
  <c r="G197" i="12"/>
  <c r="H197" i="12" s="1"/>
  <c r="K197" i="12"/>
  <c r="G205" i="12"/>
  <c r="H205" i="12" s="1"/>
  <c r="K205" i="12"/>
  <c r="G213" i="12"/>
  <c r="H213" i="12" s="1"/>
  <c r="K213" i="12"/>
  <c r="G221" i="12"/>
  <c r="H221" i="12" s="1"/>
  <c r="K221" i="12"/>
  <c r="G229" i="12"/>
  <c r="H229" i="12" s="1"/>
  <c r="K229" i="12"/>
  <c r="G233" i="12"/>
  <c r="H233" i="12" s="1"/>
  <c r="K233" i="12"/>
  <c r="G241" i="12"/>
  <c r="H241" i="12" s="1"/>
  <c r="K241" i="12"/>
  <c r="G245" i="12"/>
  <c r="H245" i="12" s="1"/>
  <c r="K245" i="12"/>
  <c r="G249" i="12"/>
  <c r="H249" i="12" s="1"/>
  <c r="K249" i="12"/>
  <c r="G253" i="12"/>
  <c r="H253" i="12" s="1"/>
  <c r="K253" i="12"/>
  <c r="G257" i="12"/>
  <c r="H257" i="12" s="1"/>
  <c r="K257" i="12"/>
  <c r="G264" i="12"/>
  <c r="H264" i="12" s="1"/>
  <c r="K264" i="12"/>
  <c r="G268" i="12"/>
  <c r="H268" i="12" s="1"/>
  <c r="K268" i="12"/>
  <c r="G279" i="12"/>
  <c r="H279" i="12" s="1"/>
  <c r="K279" i="12"/>
  <c r="G291" i="12"/>
  <c r="H291" i="12" s="1"/>
  <c r="K291" i="12"/>
  <c r="G303" i="12"/>
  <c r="H303" i="12" s="1"/>
  <c r="K303" i="12"/>
  <c r="G311" i="12"/>
  <c r="H311" i="12" s="1"/>
  <c r="K311" i="12"/>
  <c r="G323" i="12"/>
  <c r="H323" i="12" s="1"/>
  <c r="K323" i="12"/>
  <c r="G331" i="12"/>
  <c r="H331" i="12" s="1"/>
  <c r="K331" i="12"/>
  <c r="G339" i="12"/>
  <c r="H339" i="12" s="1"/>
  <c r="K339" i="12"/>
  <c r="G347" i="12"/>
  <c r="H347" i="12" s="1"/>
  <c r="K347" i="12"/>
  <c r="G355" i="12"/>
  <c r="H355" i="12" s="1"/>
  <c r="K355" i="12"/>
  <c r="G363" i="12"/>
  <c r="H363" i="12" s="1"/>
  <c r="K363" i="12"/>
  <c r="G371" i="12"/>
  <c r="H371" i="12" s="1"/>
  <c r="K371" i="12"/>
  <c r="G379" i="12"/>
  <c r="H379" i="12" s="1"/>
  <c r="K379" i="12"/>
  <c r="G387" i="12"/>
  <c r="H387" i="12" s="1"/>
  <c r="K387" i="12"/>
  <c r="G391" i="12"/>
  <c r="H391" i="12" s="1"/>
  <c r="K391" i="12"/>
  <c r="G399" i="12"/>
  <c r="H399" i="12" s="1"/>
  <c r="K399" i="12"/>
  <c r="G403" i="12"/>
  <c r="H403" i="12" s="1"/>
  <c r="K403" i="12"/>
  <c r="G411" i="12"/>
  <c r="H411" i="12" s="1"/>
  <c r="K411" i="12"/>
  <c r="G422" i="12"/>
  <c r="H422" i="12" s="1"/>
  <c r="K422" i="12"/>
  <c r="G430" i="12"/>
  <c r="H430" i="12" s="1"/>
  <c r="K430" i="12"/>
  <c r="G442" i="12"/>
  <c r="H442" i="12" s="1"/>
  <c r="K442" i="12"/>
  <c r="G454" i="12"/>
  <c r="H454" i="12" s="1"/>
  <c r="K454" i="12"/>
  <c r="G462" i="12"/>
  <c r="H462" i="12" s="1"/>
  <c r="K462" i="12"/>
  <c r="G474" i="12"/>
  <c r="H474" i="12" s="1"/>
  <c r="K474" i="12"/>
  <c r="G490" i="12"/>
  <c r="H490" i="12" s="1"/>
  <c r="K490" i="12"/>
  <c r="K2" i="12"/>
  <c r="G6" i="12"/>
  <c r="H6" i="12" s="1"/>
  <c r="K6" i="12"/>
  <c r="G10" i="12"/>
  <c r="H10" i="12" s="1"/>
  <c r="K10" i="12"/>
  <c r="G14" i="12"/>
  <c r="H14" i="12" s="1"/>
  <c r="K14" i="12"/>
  <c r="G18" i="12"/>
  <c r="H18" i="12" s="1"/>
  <c r="K18" i="12"/>
  <c r="G22" i="12"/>
  <c r="H22" i="12" s="1"/>
  <c r="K22" i="12"/>
  <c r="G26" i="12"/>
  <c r="H26" i="12" s="1"/>
  <c r="K26" i="12"/>
  <c r="G30" i="12"/>
  <c r="H30" i="12" s="1"/>
  <c r="K30" i="12"/>
  <c r="G34" i="12"/>
  <c r="H34" i="12" s="1"/>
  <c r="K34" i="12"/>
  <c r="G38" i="12"/>
  <c r="H38" i="12" s="1"/>
  <c r="K38" i="12"/>
  <c r="G42" i="12"/>
  <c r="H42" i="12" s="1"/>
  <c r="K42" i="12"/>
  <c r="G46" i="12"/>
  <c r="H46" i="12" s="1"/>
  <c r="K46" i="12"/>
  <c r="G50" i="12"/>
  <c r="H50" i="12" s="1"/>
  <c r="K50" i="12"/>
  <c r="G54" i="12"/>
  <c r="H54" i="12" s="1"/>
  <c r="K54" i="12"/>
  <c r="G58" i="12"/>
  <c r="H58" i="12" s="1"/>
  <c r="K58" i="12"/>
  <c r="G62" i="12"/>
  <c r="H62" i="12" s="1"/>
  <c r="K62" i="12"/>
  <c r="G66" i="12"/>
  <c r="H66" i="12" s="1"/>
  <c r="K66" i="12"/>
  <c r="G70" i="12"/>
  <c r="H70" i="12" s="1"/>
  <c r="K70" i="12"/>
  <c r="G74" i="12"/>
  <c r="H74" i="12" s="1"/>
  <c r="K74" i="12"/>
  <c r="G78" i="12"/>
  <c r="H78" i="12" s="1"/>
  <c r="K78" i="12"/>
  <c r="G82" i="12"/>
  <c r="H82" i="12" s="1"/>
  <c r="K82" i="12"/>
  <c r="G86" i="12"/>
  <c r="H86" i="12" s="1"/>
  <c r="K86" i="12"/>
  <c r="G90" i="12"/>
  <c r="H90" i="12" s="1"/>
  <c r="K90" i="12"/>
  <c r="G94" i="12"/>
  <c r="H94" i="12" s="1"/>
  <c r="K94" i="12"/>
  <c r="G98" i="12"/>
  <c r="H98" i="12" s="1"/>
  <c r="K98" i="12"/>
  <c r="G102" i="12"/>
  <c r="H102" i="12" s="1"/>
  <c r="K102" i="12"/>
  <c r="G106" i="12"/>
  <c r="H106" i="12" s="1"/>
  <c r="K106" i="12"/>
  <c r="G110" i="12"/>
  <c r="H110" i="12" s="1"/>
  <c r="K110" i="12"/>
  <c r="G114" i="12"/>
  <c r="H114" i="12" s="1"/>
  <c r="K114" i="12"/>
  <c r="G118" i="12"/>
  <c r="H118" i="12" s="1"/>
  <c r="K118" i="12"/>
  <c r="G122" i="12"/>
  <c r="H122" i="12" s="1"/>
  <c r="K122" i="12"/>
  <c r="G126" i="12"/>
  <c r="H126" i="12" s="1"/>
  <c r="K126" i="12"/>
  <c r="G130" i="12"/>
  <c r="H130" i="12" s="1"/>
  <c r="K130" i="12"/>
  <c r="G134" i="12"/>
  <c r="H134" i="12" s="1"/>
  <c r="K134" i="12"/>
  <c r="G138" i="12"/>
  <c r="H138" i="12" s="1"/>
  <c r="K138" i="12"/>
  <c r="G142" i="12"/>
  <c r="H142" i="12" s="1"/>
  <c r="K142" i="12"/>
  <c r="G146" i="12"/>
  <c r="H146" i="12" s="1"/>
  <c r="K146" i="12"/>
  <c r="G150" i="12"/>
  <c r="H150" i="12" s="1"/>
  <c r="K150" i="12"/>
  <c r="G154" i="12"/>
  <c r="H154" i="12" s="1"/>
  <c r="K154" i="12"/>
  <c r="G158" i="12"/>
  <c r="H158" i="12" s="1"/>
  <c r="K158" i="12"/>
  <c r="G162" i="12"/>
  <c r="H162" i="12" s="1"/>
  <c r="K162" i="12"/>
  <c r="G166" i="12"/>
  <c r="H166" i="12" s="1"/>
  <c r="K166" i="12"/>
  <c r="G170" i="12"/>
  <c r="H170" i="12" s="1"/>
  <c r="K170" i="12"/>
  <c r="G174" i="12"/>
  <c r="H174" i="12" s="1"/>
  <c r="K174" i="12"/>
  <c r="G178" i="12"/>
  <c r="H178" i="12" s="1"/>
  <c r="K178" i="12"/>
  <c r="G182" i="12"/>
  <c r="H182" i="12" s="1"/>
  <c r="K182" i="12"/>
  <c r="G186" i="12"/>
  <c r="H186" i="12" s="1"/>
  <c r="K186" i="12"/>
  <c r="G190" i="12"/>
  <c r="H190" i="12" s="1"/>
  <c r="K190" i="12"/>
  <c r="G194" i="12"/>
  <c r="H194" i="12" s="1"/>
  <c r="K194" i="12"/>
  <c r="G198" i="12"/>
  <c r="H198" i="12" s="1"/>
  <c r="K198" i="12"/>
  <c r="G202" i="12"/>
  <c r="H202" i="12" s="1"/>
  <c r="K202" i="12"/>
  <c r="G206" i="12"/>
  <c r="H206" i="12" s="1"/>
  <c r="K206" i="12"/>
  <c r="G210" i="12"/>
  <c r="H210" i="12" s="1"/>
  <c r="K210" i="12"/>
  <c r="G214" i="12"/>
  <c r="H214" i="12" s="1"/>
  <c r="K214" i="12"/>
  <c r="G218" i="12"/>
  <c r="H218" i="12" s="1"/>
  <c r="K218" i="12"/>
  <c r="G222" i="12"/>
  <c r="H222" i="12" s="1"/>
  <c r="K222" i="12"/>
  <c r="G226" i="12"/>
  <c r="H226" i="12" s="1"/>
  <c r="K226" i="12"/>
  <c r="G230" i="12"/>
  <c r="H230" i="12" s="1"/>
  <c r="K230" i="12"/>
  <c r="G234" i="12"/>
  <c r="H234" i="12" s="1"/>
  <c r="K234" i="12"/>
  <c r="G238" i="12"/>
  <c r="H238" i="12" s="1"/>
  <c r="K238" i="12"/>
  <c r="G242" i="12"/>
  <c r="H242" i="12" s="1"/>
  <c r="K242" i="12"/>
  <c r="G246" i="12"/>
  <c r="H246" i="12" s="1"/>
  <c r="K246" i="12"/>
  <c r="G250" i="12"/>
  <c r="H250" i="12" s="1"/>
  <c r="K250" i="12"/>
  <c r="G254" i="12"/>
  <c r="H254" i="12" s="1"/>
  <c r="K254" i="12"/>
  <c r="G258" i="12"/>
  <c r="H258" i="12" s="1"/>
  <c r="K258" i="12"/>
  <c r="G261" i="12"/>
  <c r="H261" i="12" s="1"/>
  <c r="K261" i="12"/>
  <c r="G265" i="12"/>
  <c r="H265" i="12" s="1"/>
  <c r="K265" i="12"/>
  <c r="G269" i="12"/>
  <c r="H269" i="12" s="1"/>
  <c r="K269" i="12"/>
  <c r="G272" i="12"/>
  <c r="H272" i="12" s="1"/>
  <c r="K272" i="12"/>
  <c r="G276" i="12"/>
  <c r="H276" i="12" s="1"/>
  <c r="K276" i="12"/>
  <c r="G280" i="12"/>
  <c r="H280" i="12" s="1"/>
  <c r="K280" i="12"/>
  <c r="G284" i="12"/>
  <c r="H284" i="12" s="1"/>
  <c r="K284" i="12"/>
  <c r="G288" i="12"/>
  <c r="H288" i="12" s="1"/>
  <c r="K288" i="12"/>
  <c r="G292" i="12"/>
  <c r="H292" i="12" s="1"/>
  <c r="K292" i="12"/>
  <c r="G296" i="12"/>
  <c r="H296" i="12" s="1"/>
  <c r="K296" i="12"/>
  <c r="G300" i="12"/>
  <c r="H300" i="12" s="1"/>
  <c r="K300" i="12"/>
  <c r="G304" i="12"/>
  <c r="H304" i="12" s="1"/>
  <c r="K304" i="12"/>
  <c r="G308" i="12"/>
  <c r="H308" i="12" s="1"/>
  <c r="K308" i="12"/>
  <c r="G312" i="12"/>
  <c r="H312" i="12" s="1"/>
  <c r="K312" i="12"/>
  <c r="G316" i="12"/>
  <c r="H316" i="12" s="1"/>
  <c r="K316" i="12"/>
  <c r="G320" i="12"/>
  <c r="H320" i="12" s="1"/>
  <c r="K320" i="12"/>
  <c r="G324" i="12"/>
  <c r="H324" i="12" s="1"/>
  <c r="K324" i="12"/>
  <c r="G328" i="12"/>
  <c r="H328" i="12" s="1"/>
  <c r="K328" i="12"/>
  <c r="G332" i="12"/>
  <c r="H332" i="12" s="1"/>
  <c r="K332" i="12"/>
  <c r="G336" i="12"/>
  <c r="H336" i="12" s="1"/>
  <c r="K336" i="12"/>
  <c r="G340" i="12"/>
  <c r="H340" i="12" s="1"/>
  <c r="K340" i="12"/>
  <c r="G344" i="12"/>
  <c r="H344" i="12" s="1"/>
  <c r="K344" i="12"/>
  <c r="G348" i="12"/>
  <c r="H348" i="12" s="1"/>
  <c r="K348" i="12"/>
  <c r="G352" i="12"/>
  <c r="H352" i="12" s="1"/>
  <c r="K352" i="12"/>
  <c r="G356" i="12"/>
  <c r="H356" i="12" s="1"/>
  <c r="K356" i="12"/>
  <c r="G360" i="12"/>
  <c r="H360" i="12" s="1"/>
  <c r="K360" i="12"/>
  <c r="G364" i="12"/>
  <c r="H364" i="12" s="1"/>
  <c r="K364" i="12"/>
  <c r="G368" i="12"/>
  <c r="H368" i="12" s="1"/>
  <c r="K368" i="12"/>
  <c r="G372" i="12"/>
  <c r="H372" i="12" s="1"/>
  <c r="K372" i="12"/>
  <c r="G376" i="12"/>
  <c r="H376" i="12" s="1"/>
  <c r="K376" i="12"/>
  <c r="G380" i="12"/>
  <c r="H380" i="12" s="1"/>
  <c r="K380" i="12"/>
  <c r="G384" i="12"/>
  <c r="H384" i="12" s="1"/>
  <c r="K384" i="12"/>
  <c r="G388" i="12"/>
  <c r="H388" i="12" s="1"/>
  <c r="K388" i="12"/>
  <c r="G392" i="12"/>
  <c r="H392" i="12" s="1"/>
  <c r="K392" i="12"/>
  <c r="G396" i="12"/>
  <c r="H396" i="12" s="1"/>
  <c r="K396" i="12"/>
  <c r="G400" i="12"/>
  <c r="H400" i="12" s="1"/>
  <c r="K400" i="12"/>
  <c r="G404" i="12"/>
  <c r="H404" i="12" s="1"/>
  <c r="K404" i="12"/>
  <c r="G408" i="12"/>
  <c r="H408" i="12" s="1"/>
  <c r="K408" i="12"/>
  <c r="G412" i="12"/>
  <c r="H412" i="12" s="1"/>
  <c r="K412" i="12"/>
  <c r="G415" i="12"/>
  <c r="H415" i="12" s="1"/>
  <c r="K415" i="12"/>
  <c r="G419" i="12"/>
  <c r="H419" i="12" s="1"/>
  <c r="K419" i="12"/>
  <c r="G423" i="12"/>
  <c r="H423" i="12" s="1"/>
  <c r="K423" i="12"/>
  <c r="G427" i="12"/>
  <c r="H427" i="12" s="1"/>
  <c r="K427" i="12"/>
  <c r="G431" i="12"/>
  <c r="H431" i="12" s="1"/>
  <c r="K431" i="12"/>
  <c r="G435" i="12"/>
  <c r="H435" i="12" s="1"/>
  <c r="K435" i="12"/>
  <c r="G439" i="12"/>
  <c r="H439" i="12" s="1"/>
  <c r="K439" i="12"/>
  <c r="G443" i="12"/>
  <c r="H443" i="12" s="1"/>
  <c r="K443" i="12"/>
  <c r="G447" i="12"/>
  <c r="H447" i="12" s="1"/>
  <c r="K447" i="12"/>
  <c r="G451" i="12"/>
  <c r="H451" i="12" s="1"/>
  <c r="K451" i="12"/>
  <c r="G455" i="12"/>
  <c r="H455" i="12" s="1"/>
  <c r="K455" i="12"/>
  <c r="G459" i="12"/>
  <c r="H459" i="12" s="1"/>
  <c r="K459" i="12"/>
  <c r="G463" i="12"/>
  <c r="H463" i="12" s="1"/>
  <c r="K463" i="12"/>
  <c r="G467" i="12"/>
  <c r="H467" i="12" s="1"/>
  <c r="K467" i="12"/>
  <c r="G471" i="12"/>
  <c r="H471" i="12" s="1"/>
  <c r="K471" i="12"/>
  <c r="G475" i="12"/>
  <c r="H475" i="12" s="1"/>
  <c r="K475" i="12"/>
  <c r="G479" i="12"/>
  <c r="H479" i="12" s="1"/>
  <c r="K479" i="12"/>
  <c r="G483" i="12"/>
  <c r="H483" i="12" s="1"/>
  <c r="K483" i="12"/>
  <c r="G487" i="12"/>
  <c r="H487" i="12" s="1"/>
  <c r="K487" i="12"/>
  <c r="G491" i="12"/>
  <c r="H491" i="12" s="1"/>
  <c r="K491" i="12"/>
  <c r="G495" i="12"/>
  <c r="H495" i="12" s="1"/>
  <c r="K495" i="12"/>
  <c r="G499" i="12"/>
  <c r="H499" i="12" s="1"/>
  <c r="K499" i="12"/>
  <c r="G5" i="12"/>
  <c r="H5" i="12" s="1"/>
  <c r="K5" i="12"/>
  <c r="G13" i="12"/>
  <c r="H13" i="12" s="1"/>
  <c r="K13" i="12"/>
  <c r="G25" i="12"/>
  <c r="H25" i="12" s="1"/>
  <c r="K25" i="12"/>
  <c r="G33" i="12"/>
  <c r="H33" i="12" s="1"/>
  <c r="K33" i="12"/>
  <c r="G45" i="12"/>
  <c r="H45" i="12" s="1"/>
  <c r="K45" i="12"/>
  <c r="G53" i="12"/>
  <c r="H53" i="12" s="1"/>
  <c r="K53" i="12"/>
  <c r="G65" i="12"/>
  <c r="H65" i="12" s="1"/>
  <c r="K65" i="12"/>
  <c r="G73" i="12"/>
  <c r="H73" i="12" s="1"/>
  <c r="K73" i="12"/>
  <c r="G81" i="12"/>
  <c r="H81" i="12" s="1"/>
  <c r="K81" i="12"/>
  <c r="G93" i="12"/>
  <c r="H93" i="12" s="1"/>
  <c r="K93" i="12"/>
  <c r="G101" i="12"/>
  <c r="H101" i="12" s="1"/>
  <c r="K101" i="12"/>
  <c r="G109" i="12"/>
  <c r="H109" i="12" s="1"/>
  <c r="K109" i="12"/>
  <c r="G121" i="12"/>
  <c r="H121" i="12" s="1"/>
  <c r="K121" i="12"/>
  <c r="G129" i="12"/>
  <c r="H129" i="12" s="1"/>
  <c r="K129" i="12"/>
  <c r="G137" i="12"/>
  <c r="H137" i="12" s="1"/>
  <c r="K137" i="12"/>
  <c r="G145" i="12"/>
  <c r="H145" i="12" s="1"/>
  <c r="K145" i="12"/>
  <c r="G157" i="12"/>
  <c r="H157" i="12" s="1"/>
  <c r="K157" i="12"/>
  <c r="G165" i="12"/>
  <c r="H165" i="12" s="1"/>
  <c r="K165" i="12"/>
  <c r="G173" i="12"/>
  <c r="H173" i="12" s="1"/>
  <c r="K173" i="12"/>
  <c r="G181" i="12"/>
  <c r="H181" i="12" s="1"/>
  <c r="K181" i="12"/>
  <c r="G193" i="12"/>
  <c r="H193" i="12" s="1"/>
  <c r="K193" i="12"/>
  <c r="G201" i="12"/>
  <c r="H201" i="12" s="1"/>
  <c r="K201" i="12"/>
  <c r="G209" i="12"/>
  <c r="H209" i="12" s="1"/>
  <c r="K209" i="12"/>
  <c r="G217" i="12"/>
  <c r="H217" i="12" s="1"/>
  <c r="K217" i="12"/>
  <c r="G225" i="12"/>
  <c r="H225" i="12" s="1"/>
  <c r="K225" i="12"/>
  <c r="G237" i="12"/>
  <c r="H237" i="12" s="1"/>
  <c r="K237" i="12"/>
  <c r="G283" i="12"/>
  <c r="H283" i="12" s="1"/>
  <c r="K283" i="12"/>
  <c r="G295" i="12"/>
  <c r="H295" i="12" s="1"/>
  <c r="K295" i="12"/>
  <c r="G319" i="12"/>
  <c r="H319" i="12" s="1"/>
  <c r="K319" i="12"/>
  <c r="G426" i="12"/>
  <c r="H426" i="12" s="1"/>
  <c r="K426" i="12"/>
  <c r="G438" i="12"/>
  <c r="H438" i="12" s="1"/>
  <c r="K438" i="12"/>
  <c r="G446" i="12"/>
  <c r="H446" i="12" s="1"/>
  <c r="K446" i="12"/>
  <c r="G458" i="12"/>
  <c r="H458" i="12" s="1"/>
  <c r="K458" i="12"/>
  <c r="G470" i="12"/>
  <c r="H470" i="12" s="1"/>
  <c r="K470" i="12"/>
  <c r="G478" i="12"/>
  <c r="H478" i="12" s="1"/>
  <c r="K478" i="12"/>
  <c r="G486" i="12"/>
  <c r="H486" i="12" s="1"/>
  <c r="K486" i="12"/>
  <c r="G498" i="12"/>
  <c r="H498" i="12" s="1"/>
  <c r="K498" i="12"/>
  <c r="G3" i="12"/>
  <c r="H3" i="12" s="1"/>
  <c r="K3" i="12"/>
  <c r="G7" i="12"/>
  <c r="H7" i="12" s="1"/>
  <c r="K7" i="12"/>
  <c r="G11" i="12"/>
  <c r="H11" i="12" s="1"/>
  <c r="K11" i="12"/>
  <c r="G15" i="12"/>
  <c r="H15" i="12" s="1"/>
  <c r="K15" i="12"/>
  <c r="G19" i="12"/>
  <c r="H19" i="12" s="1"/>
  <c r="K19" i="12"/>
  <c r="G23" i="12"/>
  <c r="H23" i="12" s="1"/>
  <c r="K23" i="12"/>
  <c r="G27" i="12"/>
  <c r="H27" i="12" s="1"/>
  <c r="K27" i="12"/>
  <c r="G31" i="12"/>
  <c r="H31" i="12" s="1"/>
  <c r="K31" i="12"/>
  <c r="G35" i="12"/>
  <c r="H35" i="12" s="1"/>
  <c r="K35" i="12"/>
  <c r="G39" i="12"/>
  <c r="H39" i="12" s="1"/>
  <c r="K39" i="12"/>
  <c r="G43" i="12"/>
  <c r="H43" i="12" s="1"/>
  <c r="K43" i="12"/>
  <c r="G47" i="12"/>
  <c r="H47" i="12" s="1"/>
  <c r="K47" i="12"/>
  <c r="G51" i="12"/>
  <c r="H51" i="12" s="1"/>
  <c r="K51" i="12"/>
  <c r="G55" i="12"/>
  <c r="H55" i="12" s="1"/>
  <c r="K55" i="12"/>
  <c r="G59" i="12"/>
  <c r="H59" i="12" s="1"/>
  <c r="K59" i="12"/>
  <c r="G63" i="12"/>
  <c r="H63" i="12" s="1"/>
  <c r="K63" i="12"/>
  <c r="G67" i="12"/>
  <c r="H67" i="12" s="1"/>
  <c r="K67" i="12"/>
  <c r="G71" i="12"/>
  <c r="H71" i="12" s="1"/>
  <c r="K71" i="12"/>
  <c r="G75" i="12"/>
  <c r="H75" i="12" s="1"/>
  <c r="K75" i="12"/>
  <c r="G79" i="12"/>
  <c r="H79" i="12" s="1"/>
  <c r="K79" i="12"/>
  <c r="G83" i="12"/>
  <c r="H83" i="12" s="1"/>
  <c r="K83" i="12"/>
  <c r="G87" i="12"/>
  <c r="H87" i="12" s="1"/>
  <c r="K87" i="12"/>
  <c r="G91" i="12"/>
  <c r="H91" i="12" s="1"/>
  <c r="K91" i="12"/>
  <c r="G95" i="12"/>
  <c r="H95" i="12" s="1"/>
  <c r="K95" i="12"/>
  <c r="G99" i="12"/>
  <c r="H99" i="12" s="1"/>
  <c r="K99" i="12"/>
  <c r="G103" i="12"/>
  <c r="H103" i="12" s="1"/>
  <c r="K103" i="12"/>
  <c r="G107" i="12"/>
  <c r="H107" i="12" s="1"/>
  <c r="K107" i="12"/>
  <c r="G111" i="12"/>
  <c r="H111" i="12" s="1"/>
  <c r="K111" i="12"/>
  <c r="G115" i="12"/>
  <c r="H115" i="12" s="1"/>
  <c r="K115" i="12"/>
  <c r="G119" i="12"/>
  <c r="H119" i="12" s="1"/>
  <c r="K119" i="12"/>
  <c r="G123" i="12"/>
  <c r="H123" i="12" s="1"/>
  <c r="K123" i="12"/>
  <c r="G127" i="12"/>
  <c r="H127" i="12" s="1"/>
  <c r="K127" i="12"/>
  <c r="G131" i="12"/>
  <c r="H131" i="12" s="1"/>
  <c r="K131" i="12"/>
  <c r="G135" i="12"/>
  <c r="H135" i="12" s="1"/>
  <c r="K135" i="12"/>
  <c r="G139" i="12"/>
  <c r="H139" i="12" s="1"/>
  <c r="K139" i="12"/>
  <c r="G143" i="12"/>
  <c r="H143" i="12" s="1"/>
  <c r="K143" i="12"/>
  <c r="G147" i="12"/>
  <c r="H147" i="12" s="1"/>
  <c r="K147" i="12"/>
  <c r="G151" i="12"/>
  <c r="H151" i="12" s="1"/>
  <c r="K151" i="12"/>
  <c r="G155" i="12"/>
  <c r="H155" i="12" s="1"/>
  <c r="K155" i="12"/>
  <c r="G159" i="12"/>
  <c r="H159" i="12" s="1"/>
  <c r="K159" i="12"/>
  <c r="G163" i="12"/>
  <c r="H163" i="12" s="1"/>
  <c r="K163" i="12"/>
  <c r="G167" i="12"/>
  <c r="H167" i="12" s="1"/>
  <c r="K167" i="12"/>
  <c r="G171" i="12"/>
  <c r="H171" i="12" s="1"/>
  <c r="K171" i="12"/>
  <c r="G175" i="12"/>
  <c r="H175" i="12" s="1"/>
  <c r="K175" i="12"/>
  <c r="G179" i="12"/>
  <c r="H179" i="12" s="1"/>
  <c r="K179" i="12"/>
  <c r="G183" i="12"/>
  <c r="H183" i="12" s="1"/>
  <c r="K183" i="12"/>
  <c r="G187" i="12"/>
  <c r="H187" i="12" s="1"/>
  <c r="K187" i="12"/>
  <c r="G191" i="12"/>
  <c r="H191" i="12" s="1"/>
  <c r="K191" i="12"/>
  <c r="G195" i="12"/>
  <c r="H195" i="12" s="1"/>
  <c r="K195" i="12"/>
  <c r="G199" i="12"/>
  <c r="H199" i="12" s="1"/>
  <c r="K199" i="12"/>
  <c r="G203" i="12"/>
  <c r="H203" i="12" s="1"/>
  <c r="K203" i="12"/>
  <c r="G207" i="12"/>
  <c r="H207" i="12" s="1"/>
  <c r="K207" i="12"/>
  <c r="G211" i="12"/>
  <c r="H211" i="12" s="1"/>
  <c r="K211" i="12"/>
  <c r="G215" i="12"/>
  <c r="H215" i="12" s="1"/>
  <c r="K215" i="12"/>
  <c r="G219" i="12"/>
  <c r="H219" i="12" s="1"/>
  <c r="K219" i="12"/>
  <c r="G223" i="12"/>
  <c r="H223" i="12" s="1"/>
  <c r="K223" i="12"/>
  <c r="G227" i="12"/>
  <c r="H227" i="12" s="1"/>
  <c r="K227" i="12"/>
  <c r="G231" i="12"/>
  <c r="H231" i="12" s="1"/>
  <c r="K231" i="12"/>
  <c r="G235" i="12"/>
  <c r="H235" i="12" s="1"/>
  <c r="K235" i="12"/>
  <c r="G239" i="12"/>
  <c r="H239" i="12" s="1"/>
  <c r="K239" i="12"/>
  <c r="G243" i="12"/>
  <c r="H243" i="12" s="1"/>
  <c r="K243" i="12"/>
  <c r="G247" i="12"/>
  <c r="H247" i="12" s="1"/>
  <c r="K247" i="12"/>
  <c r="G251" i="12"/>
  <c r="H251" i="12" s="1"/>
  <c r="K251" i="12"/>
  <c r="G255" i="12"/>
  <c r="H255" i="12" s="1"/>
  <c r="K255" i="12"/>
  <c r="G259" i="12"/>
  <c r="H259" i="12" s="1"/>
  <c r="K259" i="12"/>
  <c r="G262" i="12"/>
  <c r="H262" i="12" s="1"/>
  <c r="K262" i="12"/>
  <c r="G266" i="12"/>
  <c r="H266" i="12" s="1"/>
  <c r="K266" i="12"/>
  <c r="G270" i="12"/>
  <c r="H270" i="12" s="1"/>
  <c r="K270" i="12"/>
  <c r="G273" i="12"/>
  <c r="H273" i="12" s="1"/>
  <c r="K273" i="12"/>
  <c r="G277" i="12"/>
  <c r="H277" i="12" s="1"/>
  <c r="K277" i="12"/>
  <c r="G281" i="12"/>
  <c r="H281" i="12" s="1"/>
  <c r="K281" i="12"/>
  <c r="G285" i="12"/>
  <c r="H285" i="12" s="1"/>
  <c r="K285" i="12"/>
  <c r="G289" i="12"/>
  <c r="H289" i="12" s="1"/>
  <c r="K289" i="12"/>
  <c r="G293" i="12"/>
  <c r="H293" i="12" s="1"/>
  <c r="K293" i="12"/>
  <c r="G297" i="12"/>
  <c r="H297" i="12" s="1"/>
  <c r="K297" i="12"/>
  <c r="G301" i="12"/>
  <c r="H301" i="12" s="1"/>
  <c r="K301" i="12"/>
  <c r="G305" i="12"/>
  <c r="H305" i="12" s="1"/>
  <c r="K305" i="12"/>
  <c r="G309" i="12"/>
  <c r="H309" i="12" s="1"/>
  <c r="K309" i="12"/>
  <c r="G313" i="12"/>
  <c r="H313" i="12" s="1"/>
  <c r="K313" i="12"/>
  <c r="G317" i="12"/>
  <c r="H317" i="12" s="1"/>
  <c r="K317" i="12"/>
  <c r="G321" i="12"/>
  <c r="H321" i="12" s="1"/>
  <c r="K321" i="12"/>
  <c r="G325" i="12"/>
  <c r="H325" i="12" s="1"/>
  <c r="K325" i="12"/>
  <c r="G329" i="12"/>
  <c r="H329" i="12" s="1"/>
  <c r="K329" i="12"/>
  <c r="G333" i="12"/>
  <c r="H333" i="12" s="1"/>
  <c r="K333" i="12"/>
  <c r="G337" i="12"/>
  <c r="H337" i="12" s="1"/>
  <c r="K337" i="12"/>
  <c r="G341" i="12"/>
  <c r="H341" i="12" s="1"/>
  <c r="K341" i="12"/>
  <c r="G345" i="12"/>
  <c r="H345" i="12" s="1"/>
  <c r="K345" i="12"/>
  <c r="G349" i="12"/>
  <c r="H349" i="12" s="1"/>
  <c r="K349" i="12"/>
  <c r="G353" i="12"/>
  <c r="H353" i="12" s="1"/>
  <c r="K353" i="12"/>
  <c r="G357" i="12"/>
  <c r="H357" i="12" s="1"/>
  <c r="K357" i="12"/>
  <c r="G361" i="12"/>
  <c r="H361" i="12" s="1"/>
  <c r="K361" i="12"/>
  <c r="G365" i="12"/>
  <c r="H365" i="12" s="1"/>
  <c r="K365" i="12"/>
  <c r="G369" i="12"/>
  <c r="H369" i="12" s="1"/>
  <c r="K369" i="12"/>
  <c r="G373" i="12"/>
  <c r="H373" i="12" s="1"/>
  <c r="K373" i="12"/>
  <c r="G377" i="12"/>
  <c r="H377" i="12" s="1"/>
  <c r="K377" i="12"/>
  <c r="G381" i="12"/>
  <c r="H381" i="12" s="1"/>
  <c r="K381" i="12"/>
  <c r="G385" i="12"/>
  <c r="H385" i="12" s="1"/>
  <c r="K385" i="12"/>
  <c r="G389" i="12"/>
  <c r="H389" i="12" s="1"/>
  <c r="K389" i="12"/>
  <c r="G393" i="12"/>
  <c r="H393" i="12" s="1"/>
  <c r="K393" i="12"/>
  <c r="G397" i="12"/>
  <c r="H397" i="12" s="1"/>
  <c r="K397" i="12"/>
  <c r="G401" i="12"/>
  <c r="H401" i="12" s="1"/>
  <c r="K401" i="12"/>
  <c r="G405" i="12"/>
  <c r="H405" i="12" s="1"/>
  <c r="K405" i="12"/>
  <c r="G409" i="12"/>
  <c r="H409" i="12" s="1"/>
  <c r="K409" i="12"/>
  <c r="G413" i="12"/>
  <c r="H413" i="12" s="1"/>
  <c r="K413" i="12"/>
  <c r="G416" i="12"/>
  <c r="H416" i="12" s="1"/>
  <c r="K416" i="12"/>
  <c r="G420" i="12"/>
  <c r="H420" i="12" s="1"/>
  <c r="K420" i="12"/>
  <c r="G424" i="12"/>
  <c r="H424" i="12" s="1"/>
  <c r="K424" i="12"/>
  <c r="G428" i="12"/>
  <c r="H428" i="12" s="1"/>
  <c r="K428" i="12"/>
  <c r="G432" i="12"/>
  <c r="H432" i="12" s="1"/>
  <c r="K432" i="12"/>
  <c r="G436" i="12"/>
  <c r="H436" i="12" s="1"/>
  <c r="K436" i="12"/>
  <c r="G440" i="12"/>
  <c r="H440" i="12" s="1"/>
  <c r="K440" i="12"/>
  <c r="G444" i="12"/>
  <c r="H444" i="12" s="1"/>
  <c r="K444" i="12"/>
  <c r="G448" i="12"/>
  <c r="H448" i="12" s="1"/>
  <c r="K448" i="12"/>
  <c r="G452" i="12"/>
  <c r="H452" i="12" s="1"/>
  <c r="K452" i="12"/>
  <c r="G456" i="12"/>
  <c r="H456" i="12" s="1"/>
  <c r="K456" i="12"/>
  <c r="G460" i="12"/>
  <c r="H460" i="12" s="1"/>
  <c r="K460" i="12"/>
  <c r="G464" i="12"/>
  <c r="H464" i="12" s="1"/>
  <c r="K464" i="12"/>
  <c r="G468" i="12"/>
  <c r="H468" i="12" s="1"/>
  <c r="K468" i="12"/>
  <c r="G472" i="12"/>
  <c r="H472" i="12" s="1"/>
  <c r="K472" i="12"/>
  <c r="G476" i="12"/>
  <c r="H476" i="12" s="1"/>
  <c r="K476" i="12"/>
  <c r="G480" i="12"/>
  <c r="H480" i="12" s="1"/>
  <c r="K480" i="12"/>
  <c r="G484" i="12"/>
  <c r="H484" i="12" s="1"/>
  <c r="K484" i="12"/>
  <c r="G488" i="12"/>
  <c r="H488" i="12" s="1"/>
  <c r="K488" i="12"/>
  <c r="G492" i="12"/>
  <c r="H492" i="12" s="1"/>
  <c r="K492" i="12"/>
  <c r="G496" i="12"/>
  <c r="H496" i="12" s="1"/>
  <c r="K496" i="12"/>
  <c r="G500" i="12"/>
  <c r="H500" i="12" s="1"/>
  <c r="K500" i="12"/>
  <c r="G21" i="12"/>
  <c r="H21" i="12" s="1"/>
  <c r="K21" i="12"/>
  <c r="G41" i="12"/>
  <c r="H41" i="12" s="1"/>
  <c r="K41" i="12"/>
  <c r="G61" i="12"/>
  <c r="H61" i="12" s="1"/>
  <c r="K61" i="12"/>
  <c r="G89" i="12"/>
  <c r="H89" i="12" s="1"/>
  <c r="K89" i="12"/>
  <c r="G117" i="12"/>
  <c r="H117" i="12" s="1"/>
  <c r="K117" i="12"/>
  <c r="G149" i="12"/>
  <c r="H149" i="12" s="1"/>
  <c r="K149" i="12"/>
  <c r="G189" i="12"/>
  <c r="H189" i="12" s="1"/>
  <c r="K189" i="12"/>
  <c r="G275" i="12"/>
  <c r="H275" i="12" s="1"/>
  <c r="K275" i="12"/>
  <c r="G287" i="12"/>
  <c r="H287" i="12" s="1"/>
  <c r="K287" i="12"/>
  <c r="G299" i="12"/>
  <c r="H299" i="12" s="1"/>
  <c r="K299" i="12"/>
  <c r="G307" i="12"/>
  <c r="H307" i="12" s="1"/>
  <c r="K307" i="12"/>
  <c r="G315" i="12"/>
  <c r="H315" i="12" s="1"/>
  <c r="K315" i="12"/>
  <c r="G327" i="12"/>
  <c r="H327" i="12" s="1"/>
  <c r="K327" i="12"/>
  <c r="G335" i="12"/>
  <c r="H335" i="12" s="1"/>
  <c r="K335" i="12"/>
  <c r="G343" i="12"/>
  <c r="H343" i="12" s="1"/>
  <c r="K343" i="12"/>
  <c r="G351" i="12"/>
  <c r="H351" i="12" s="1"/>
  <c r="K351" i="12"/>
  <c r="G359" i="12"/>
  <c r="H359" i="12" s="1"/>
  <c r="K359" i="12"/>
  <c r="G367" i="12"/>
  <c r="H367" i="12" s="1"/>
  <c r="K367" i="12"/>
  <c r="G375" i="12"/>
  <c r="H375" i="12" s="1"/>
  <c r="K375" i="12"/>
  <c r="G383" i="12"/>
  <c r="H383" i="12" s="1"/>
  <c r="K383" i="12"/>
  <c r="G395" i="12"/>
  <c r="H395" i="12" s="1"/>
  <c r="K395" i="12"/>
  <c r="G407" i="12"/>
  <c r="H407" i="12" s="1"/>
  <c r="K407" i="12"/>
  <c r="G418" i="12"/>
  <c r="H418" i="12" s="1"/>
  <c r="K418" i="12"/>
  <c r="G434" i="12"/>
  <c r="H434" i="12" s="1"/>
  <c r="K434" i="12"/>
  <c r="G450" i="12"/>
  <c r="H450" i="12" s="1"/>
  <c r="K450" i="12"/>
  <c r="G466" i="12"/>
  <c r="H466" i="12" s="1"/>
  <c r="K466" i="12"/>
  <c r="G482" i="12"/>
  <c r="H482" i="12" s="1"/>
  <c r="K482" i="12"/>
  <c r="G494" i="12"/>
  <c r="H494" i="12" s="1"/>
  <c r="K494" i="12"/>
  <c r="G4" i="12"/>
  <c r="H4" i="12" s="1"/>
  <c r="K4" i="12"/>
  <c r="G8" i="12"/>
  <c r="H8" i="12" s="1"/>
  <c r="K8" i="12"/>
  <c r="G12" i="12"/>
  <c r="H12" i="12" s="1"/>
  <c r="K12" i="12"/>
  <c r="G16" i="12"/>
  <c r="H16" i="12" s="1"/>
  <c r="K16" i="12"/>
  <c r="G20" i="12"/>
  <c r="H20" i="12" s="1"/>
  <c r="K20" i="12"/>
  <c r="G24" i="12"/>
  <c r="H24" i="12" s="1"/>
  <c r="K24" i="12"/>
  <c r="G28" i="12"/>
  <c r="H28" i="12" s="1"/>
  <c r="K28" i="12"/>
  <c r="G32" i="12"/>
  <c r="H32" i="12" s="1"/>
  <c r="K32" i="12"/>
  <c r="G36" i="12"/>
  <c r="H36" i="12" s="1"/>
  <c r="K36" i="12"/>
  <c r="G40" i="12"/>
  <c r="H40" i="12" s="1"/>
  <c r="K40" i="12"/>
  <c r="G44" i="12"/>
  <c r="H44" i="12" s="1"/>
  <c r="K44" i="12"/>
  <c r="G48" i="12"/>
  <c r="H48" i="12" s="1"/>
  <c r="K48" i="12"/>
  <c r="G52" i="12"/>
  <c r="H52" i="12" s="1"/>
  <c r="K52" i="12"/>
  <c r="G56" i="12"/>
  <c r="H56" i="12" s="1"/>
  <c r="K56" i="12"/>
  <c r="G60" i="12"/>
  <c r="H60" i="12" s="1"/>
  <c r="K60" i="12"/>
  <c r="G64" i="12"/>
  <c r="H64" i="12" s="1"/>
  <c r="K64" i="12"/>
  <c r="G68" i="12"/>
  <c r="H68" i="12" s="1"/>
  <c r="K68" i="12"/>
  <c r="G72" i="12"/>
  <c r="H72" i="12" s="1"/>
  <c r="K72" i="12"/>
  <c r="G76" i="12"/>
  <c r="H76" i="12" s="1"/>
  <c r="K76" i="12"/>
  <c r="G80" i="12"/>
  <c r="H80" i="12" s="1"/>
  <c r="K80" i="12"/>
  <c r="G84" i="12"/>
  <c r="H84" i="12" s="1"/>
  <c r="K84" i="12"/>
  <c r="G88" i="12"/>
  <c r="H88" i="12" s="1"/>
  <c r="K88" i="12"/>
  <c r="G92" i="12"/>
  <c r="H92" i="12" s="1"/>
  <c r="K92" i="12"/>
  <c r="G96" i="12"/>
  <c r="H96" i="12" s="1"/>
  <c r="K96" i="12"/>
  <c r="G100" i="12"/>
  <c r="H100" i="12" s="1"/>
  <c r="K100" i="12"/>
  <c r="G104" i="12"/>
  <c r="H104" i="12" s="1"/>
  <c r="K104" i="12"/>
  <c r="G108" i="12"/>
  <c r="H108" i="12" s="1"/>
  <c r="K108" i="12"/>
  <c r="G112" i="12"/>
  <c r="H112" i="12" s="1"/>
  <c r="K112" i="12"/>
  <c r="G116" i="12"/>
  <c r="H116" i="12" s="1"/>
  <c r="K116" i="12"/>
  <c r="G120" i="12"/>
  <c r="H120" i="12" s="1"/>
  <c r="K120" i="12"/>
  <c r="G124" i="12"/>
  <c r="H124" i="12" s="1"/>
  <c r="K124" i="12"/>
  <c r="G128" i="12"/>
  <c r="H128" i="12" s="1"/>
  <c r="K128" i="12"/>
  <c r="G132" i="12"/>
  <c r="H132" i="12" s="1"/>
  <c r="K132" i="12"/>
  <c r="G136" i="12"/>
  <c r="H136" i="12" s="1"/>
  <c r="K136" i="12"/>
  <c r="G140" i="12"/>
  <c r="H140" i="12" s="1"/>
  <c r="K140" i="12"/>
  <c r="G144" i="12"/>
  <c r="H144" i="12" s="1"/>
  <c r="K144" i="12"/>
  <c r="G148" i="12"/>
  <c r="H148" i="12" s="1"/>
  <c r="K148" i="12"/>
  <c r="G152" i="12"/>
  <c r="H152" i="12" s="1"/>
  <c r="K152" i="12"/>
  <c r="G156" i="12"/>
  <c r="H156" i="12" s="1"/>
  <c r="K156" i="12"/>
  <c r="G160" i="12"/>
  <c r="H160" i="12" s="1"/>
  <c r="K160" i="12"/>
  <c r="G164" i="12"/>
  <c r="H164" i="12" s="1"/>
  <c r="K164" i="12"/>
  <c r="G168" i="12"/>
  <c r="H168" i="12" s="1"/>
  <c r="K168" i="12"/>
  <c r="G172" i="12"/>
  <c r="H172" i="12" s="1"/>
  <c r="K172" i="12"/>
  <c r="G176" i="12"/>
  <c r="H176" i="12" s="1"/>
  <c r="K176" i="12"/>
  <c r="G180" i="12"/>
  <c r="H180" i="12" s="1"/>
  <c r="K180" i="12"/>
  <c r="G184" i="12"/>
  <c r="H184" i="12" s="1"/>
  <c r="K184" i="12"/>
  <c r="G188" i="12"/>
  <c r="H188" i="12" s="1"/>
  <c r="K188" i="12"/>
  <c r="G192" i="12"/>
  <c r="H192" i="12" s="1"/>
  <c r="K192" i="12"/>
  <c r="G196" i="12"/>
  <c r="H196" i="12" s="1"/>
  <c r="K196" i="12"/>
  <c r="G200" i="12"/>
  <c r="H200" i="12" s="1"/>
  <c r="K200" i="12"/>
  <c r="G204" i="12"/>
  <c r="H204" i="12" s="1"/>
  <c r="K204" i="12"/>
  <c r="G208" i="12"/>
  <c r="H208" i="12" s="1"/>
  <c r="K208" i="12"/>
  <c r="G212" i="12"/>
  <c r="H212" i="12" s="1"/>
  <c r="K212" i="12"/>
  <c r="G216" i="12"/>
  <c r="H216" i="12" s="1"/>
  <c r="K216" i="12"/>
  <c r="G220" i="12"/>
  <c r="H220" i="12" s="1"/>
  <c r="K220" i="12"/>
  <c r="G224" i="12"/>
  <c r="H224" i="12" s="1"/>
  <c r="K224" i="12"/>
  <c r="G228" i="12"/>
  <c r="H228" i="12" s="1"/>
  <c r="K228" i="12"/>
  <c r="G232" i="12"/>
  <c r="H232" i="12" s="1"/>
  <c r="K232" i="12"/>
  <c r="G236" i="12"/>
  <c r="H236" i="12" s="1"/>
  <c r="K236" i="12"/>
  <c r="G240" i="12"/>
  <c r="H240" i="12" s="1"/>
  <c r="K240" i="12"/>
  <c r="G244" i="12"/>
  <c r="H244" i="12" s="1"/>
  <c r="K244" i="12"/>
  <c r="G248" i="12"/>
  <c r="H248" i="12" s="1"/>
  <c r="K248" i="12"/>
  <c r="G252" i="12"/>
  <c r="H252" i="12" s="1"/>
  <c r="K252" i="12"/>
  <c r="G256" i="12"/>
  <c r="H256" i="12" s="1"/>
  <c r="K256" i="12"/>
  <c r="K260" i="12"/>
  <c r="G263" i="12"/>
  <c r="H263" i="12" s="1"/>
  <c r="K263" i="12"/>
  <c r="G267" i="12"/>
  <c r="H267" i="12" s="1"/>
  <c r="K267" i="12"/>
  <c r="K271" i="12"/>
  <c r="G274" i="12"/>
  <c r="H274" i="12" s="1"/>
  <c r="K274" i="12"/>
  <c r="G278" i="12"/>
  <c r="H278" i="12" s="1"/>
  <c r="K278" i="12"/>
  <c r="G282" i="12"/>
  <c r="H282" i="12" s="1"/>
  <c r="K282" i="12"/>
  <c r="G286" i="12"/>
  <c r="H286" i="12" s="1"/>
  <c r="K286" i="12"/>
  <c r="G290" i="12"/>
  <c r="H290" i="12" s="1"/>
  <c r="K290" i="12"/>
  <c r="G294" i="12"/>
  <c r="H294" i="12" s="1"/>
  <c r="K294" i="12"/>
  <c r="G298" i="12"/>
  <c r="H298" i="12" s="1"/>
  <c r="K298" i="12"/>
  <c r="G302" i="12"/>
  <c r="H302" i="12" s="1"/>
  <c r="K302" i="12"/>
  <c r="G306" i="12"/>
  <c r="H306" i="12" s="1"/>
  <c r="K306" i="12"/>
  <c r="G310" i="12"/>
  <c r="H310" i="12" s="1"/>
  <c r="K310" i="12"/>
  <c r="G314" i="12"/>
  <c r="H314" i="12" s="1"/>
  <c r="K314" i="12"/>
  <c r="G318" i="12"/>
  <c r="H318" i="12" s="1"/>
  <c r="K318" i="12"/>
  <c r="G322" i="12"/>
  <c r="H322" i="12" s="1"/>
  <c r="K322" i="12"/>
  <c r="G326" i="12"/>
  <c r="H326" i="12" s="1"/>
  <c r="K326" i="12"/>
  <c r="G330" i="12"/>
  <c r="H330" i="12" s="1"/>
  <c r="K330" i="12"/>
  <c r="G334" i="12"/>
  <c r="H334" i="12" s="1"/>
  <c r="K334" i="12"/>
  <c r="G338" i="12"/>
  <c r="H338" i="12" s="1"/>
  <c r="K338" i="12"/>
  <c r="G342" i="12"/>
  <c r="H342" i="12" s="1"/>
  <c r="K342" i="12"/>
  <c r="G346" i="12"/>
  <c r="H346" i="12" s="1"/>
  <c r="K346" i="12"/>
  <c r="G350" i="12"/>
  <c r="H350" i="12" s="1"/>
  <c r="K350" i="12"/>
  <c r="G354" i="12"/>
  <c r="H354" i="12" s="1"/>
  <c r="K354" i="12"/>
  <c r="G358" i="12"/>
  <c r="H358" i="12" s="1"/>
  <c r="K358" i="12"/>
  <c r="G362" i="12"/>
  <c r="H362" i="12" s="1"/>
  <c r="K362" i="12"/>
  <c r="G366" i="12"/>
  <c r="H366" i="12" s="1"/>
  <c r="K366" i="12"/>
  <c r="G370" i="12"/>
  <c r="H370" i="12" s="1"/>
  <c r="K370" i="12"/>
  <c r="G374" i="12"/>
  <c r="H374" i="12" s="1"/>
  <c r="K374" i="12"/>
  <c r="G378" i="12"/>
  <c r="H378" i="12" s="1"/>
  <c r="K378" i="12"/>
  <c r="G382" i="12"/>
  <c r="H382" i="12" s="1"/>
  <c r="K382" i="12"/>
  <c r="G386" i="12"/>
  <c r="H386" i="12" s="1"/>
  <c r="K386" i="12"/>
  <c r="G390" i="12"/>
  <c r="H390" i="12" s="1"/>
  <c r="K390" i="12"/>
  <c r="G394" i="12"/>
  <c r="H394" i="12" s="1"/>
  <c r="K394" i="12"/>
  <c r="G398" i="12"/>
  <c r="H398" i="12" s="1"/>
  <c r="K398" i="12"/>
  <c r="G402" i="12"/>
  <c r="H402" i="12" s="1"/>
  <c r="K402" i="12"/>
  <c r="G406" i="12"/>
  <c r="H406" i="12" s="1"/>
  <c r="K406" i="12"/>
  <c r="G410" i="12"/>
  <c r="H410" i="12" s="1"/>
  <c r="K410" i="12"/>
  <c r="K414" i="12"/>
  <c r="G417" i="12"/>
  <c r="H417" i="12" s="1"/>
  <c r="K417" i="12"/>
  <c r="G421" i="12"/>
  <c r="H421" i="12" s="1"/>
  <c r="K421" i="12"/>
  <c r="G425" i="12"/>
  <c r="H425" i="12" s="1"/>
  <c r="K425" i="12"/>
  <c r="G429" i="12"/>
  <c r="H429" i="12" s="1"/>
  <c r="K429" i="12"/>
  <c r="G433" i="12"/>
  <c r="H433" i="12" s="1"/>
  <c r="K433" i="12"/>
  <c r="G437" i="12"/>
  <c r="H437" i="12" s="1"/>
  <c r="K437" i="12"/>
  <c r="G441" i="12"/>
  <c r="H441" i="12" s="1"/>
  <c r="K441" i="12"/>
  <c r="G445" i="12"/>
  <c r="H445" i="12" s="1"/>
  <c r="K445" i="12"/>
  <c r="G449" i="12"/>
  <c r="H449" i="12" s="1"/>
  <c r="K449" i="12"/>
  <c r="G453" i="12"/>
  <c r="H453" i="12" s="1"/>
  <c r="K453" i="12"/>
  <c r="G457" i="12"/>
  <c r="H457" i="12" s="1"/>
  <c r="K457" i="12"/>
  <c r="G461" i="12"/>
  <c r="H461" i="12" s="1"/>
  <c r="K461" i="12"/>
  <c r="G465" i="12"/>
  <c r="H465" i="12" s="1"/>
  <c r="K465" i="12"/>
  <c r="G469" i="12"/>
  <c r="H469" i="12" s="1"/>
  <c r="K469" i="12"/>
  <c r="G473" i="12"/>
  <c r="H473" i="12" s="1"/>
  <c r="K473" i="12"/>
  <c r="G477" i="12"/>
  <c r="H477" i="12" s="1"/>
  <c r="K477" i="12"/>
  <c r="G481" i="12"/>
  <c r="H481" i="12" s="1"/>
  <c r="K481" i="12"/>
  <c r="G485" i="12"/>
  <c r="H485" i="12" s="1"/>
  <c r="K485" i="12"/>
  <c r="G489" i="12"/>
  <c r="H489" i="12" s="1"/>
  <c r="K489" i="12"/>
  <c r="G493" i="12"/>
  <c r="H493" i="12" s="1"/>
  <c r="K493" i="12"/>
  <c r="G497" i="12"/>
  <c r="H497" i="12" s="1"/>
  <c r="K497" i="12"/>
  <c r="G501" i="12"/>
  <c r="H501" i="12" s="1"/>
  <c r="K501" i="12"/>
  <c r="L399" i="12"/>
  <c r="L389" i="12"/>
  <c r="L79" i="12"/>
  <c r="L95" i="12"/>
  <c r="L111" i="12"/>
  <c r="L135" i="12"/>
  <c r="L151" i="12"/>
  <c r="L167" i="12"/>
  <c r="L183" i="12"/>
  <c r="L199" i="12"/>
  <c r="L215" i="12"/>
  <c r="L231" i="12"/>
  <c r="L247" i="12"/>
  <c r="L271" i="12"/>
  <c r="L337" i="12"/>
  <c r="L446" i="12"/>
  <c r="L323" i="12"/>
  <c r="L361" i="12"/>
  <c r="L413" i="12"/>
  <c r="L477" i="12"/>
  <c r="L478" i="12"/>
  <c r="L367" i="12"/>
  <c r="L119" i="12"/>
  <c r="L303" i="12"/>
  <c r="L353" i="12"/>
  <c r="L341" i="12"/>
  <c r="L357" i="12"/>
  <c r="L373" i="12"/>
  <c r="L494" i="12"/>
  <c r="L315" i="12"/>
  <c r="L333" i="12"/>
  <c r="L485" i="12"/>
  <c r="L349" i="12"/>
  <c r="G2" i="12"/>
  <c r="H2" i="12" s="1"/>
  <c r="O2" i="12"/>
  <c r="L5" i="12"/>
  <c r="L11" i="12"/>
  <c r="L18" i="12"/>
  <c r="L23" i="12"/>
  <c r="L27" i="12"/>
  <c r="L32" i="12"/>
  <c r="L42" i="12"/>
  <c r="J42" i="12"/>
  <c r="L66" i="12"/>
  <c r="L78" i="12"/>
  <c r="L85" i="12"/>
  <c r="L87" i="12"/>
  <c r="L91" i="12"/>
  <c r="L96" i="12"/>
  <c r="L106" i="12"/>
  <c r="J106" i="12"/>
  <c r="L120" i="12"/>
  <c r="L130" i="12"/>
  <c r="L154" i="12"/>
  <c r="L166" i="12"/>
  <c r="L173" i="12"/>
  <c r="L175" i="12"/>
  <c r="J175" i="12"/>
  <c r="L184" i="12"/>
  <c r="L194" i="12"/>
  <c r="L218" i="12"/>
  <c r="L230" i="12"/>
  <c r="L239" i="12"/>
  <c r="J239" i="12"/>
  <c r="L248" i="12"/>
  <c r="L258" i="12"/>
  <c r="L268" i="12"/>
  <c r="L274" i="12"/>
  <c r="L284" i="12"/>
  <c r="L290" i="12"/>
  <c r="L300" i="12"/>
  <c r="J300" i="12"/>
  <c r="L309" i="12"/>
  <c r="L311" i="12"/>
  <c r="L314" i="12"/>
  <c r="L6" i="12"/>
  <c r="L9" i="12"/>
  <c r="L15" i="12"/>
  <c r="L30" i="12"/>
  <c r="J30" i="12"/>
  <c r="L37" i="12"/>
  <c r="L39" i="12"/>
  <c r="L43" i="12"/>
  <c r="L48" i="12"/>
  <c r="L58" i="12"/>
  <c r="L67" i="12"/>
  <c r="L82" i="12"/>
  <c r="L94" i="12"/>
  <c r="J94" i="12"/>
  <c r="L101" i="12"/>
  <c r="L103" i="12"/>
  <c r="L107" i="12"/>
  <c r="L112" i="12"/>
  <c r="L118" i="12"/>
  <c r="L125" i="12"/>
  <c r="L127" i="12"/>
  <c r="L131" i="12"/>
  <c r="J131" i="12"/>
  <c r="L136" i="12"/>
  <c r="L146" i="12"/>
  <c r="L155" i="12"/>
  <c r="L170" i="12"/>
  <c r="L182" i="12"/>
  <c r="L189" i="12"/>
  <c r="L191" i="12"/>
  <c r="L195" i="12"/>
  <c r="J195" i="12"/>
  <c r="L200" i="12"/>
  <c r="L210" i="12"/>
  <c r="L219" i="12"/>
  <c r="L234" i="12"/>
  <c r="L246" i="12"/>
  <c r="L253" i="12"/>
  <c r="L255" i="12"/>
  <c r="L259" i="12"/>
  <c r="J259" i="12"/>
  <c r="L266" i="12"/>
  <c r="L275" i="12"/>
  <c r="L277" i="12"/>
  <c r="L279" i="12"/>
  <c r="L282" i="12"/>
  <c r="L291" i="12"/>
  <c r="J291" i="12"/>
  <c r="L293" i="12"/>
  <c r="L298" i="12"/>
  <c r="L3" i="12"/>
  <c r="J3" i="12"/>
  <c r="L10" i="12"/>
  <c r="L34" i="12"/>
  <c r="L53" i="12"/>
  <c r="L55" i="12"/>
  <c r="L64" i="12"/>
  <c r="J64" i="12"/>
  <c r="L74" i="12"/>
  <c r="L98" i="12"/>
  <c r="L122" i="12"/>
  <c r="L134" i="12"/>
  <c r="L141" i="12"/>
  <c r="L143" i="12"/>
  <c r="J143" i="12"/>
  <c r="L152" i="12"/>
  <c r="L162" i="12"/>
  <c r="L186" i="12"/>
  <c r="L198" i="12"/>
  <c r="L205" i="12"/>
  <c r="L207" i="12"/>
  <c r="J207" i="12"/>
  <c r="L216" i="12"/>
  <c r="L226" i="12"/>
  <c r="L250" i="12"/>
  <c r="L264" i="12"/>
  <c r="L267" i="12"/>
  <c r="L272" i="12"/>
  <c r="J272" i="12"/>
  <c r="L280" i="12"/>
  <c r="L283" i="12"/>
  <c r="L288" i="12"/>
  <c r="L296" i="12"/>
  <c r="L299" i="12"/>
  <c r="L304" i="12"/>
  <c r="L332" i="12"/>
  <c r="J332" i="12"/>
  <c r="L342" i="12"/>
  <c r="L350" i="12"/>
  <c r="L356" i="12"/>
  <c r="L364" i="12"/>
  <c r="J364" i="12"/>
  <c r="L374" i="12"/>
  <c r="L378" i="12"/>
  <c r="L382" i="12"/>
  <c r="L407" i="12"/>
  <c r="L410" i="12"/>
  <c r="L416" i="12"/>
  <c r="J416" i="12"/>
  <c r="L431" i="12"/>
  <c r="L434" i="12"/>
  <c r="L438" i="12"/>
  <c r="L455" i="12"/>
  <c r="L458" i="12"/>
  <c r="J462" i="12"/>
  <c r="L462" i="12"/>
  <c r="L486" i="12"/>
  <c r="L500" i="12"/>
  <c r="L7" i="12"/>
  <c r="L14" i="12"/>
  <c r="L17" i="12"/>
  <c r="L26" i="12"/>
  <c r="L35" i="12"/>
  <c r="L50" i="12"/>
  <c r="L62" i="12"/>
  <c r="L69" i="12"/>
  <c r="L71" i="12"/>
  <c r="L75" i="12"/>
  <c r="L80" i="12"/>
  <c r="L90" i="12"/>
  <c r="L99" i="12"/>
  <c r="L114" i="12"/>
  <c r="L123" i="12"/>
  <c r="L138" i="12"/>
  <c r="L157" i="12"/>
  <c r="J157" i="12"/>
  <c r="L159" i="12"/>
  <c r="L168" i="12"/>
  <c r="L178" i="12"/>
  <c r="L187" i="12"/>
  <c r="L202" i="12"/>
  <c r="L221" i="12"/>
  <c r="J221" i="12"/>
  <c r="L223" i="12"/>
  <c r="L232" i="12"/>
  <c r="L242" i="12"/>
  <c r="L251" i="12"/>
  <c r="L270" i="12"/>
  <c r="L302" i="12"/>
  <c r="J302" i="12"/>
  <c r="L22" i="12"/>
  <c r="L24" i="12"/>
  <c r="L29" i="12"/>
  <c r="L31" i="12"/>
  <c r="L40" i="12"/>
  <c r="J40" i="12"/>
  <c r="L45" i="12"/>
  <c r="L47" i="12"/>
  <c r="L54" i="12"/>
  <c r="L56" i="12"/>
  <c r="L61" i="12"/>
  <c r="L63" i="12"/>
  <c r="L72" i="12"/>
  <c r="J72" i="12"/>
  <c r="L77" i="12"/>
  <c r="L88" i="12"/>
  <c r="L102" i="12"/>
  <c r="L104" i="12"/>
  <c r="L117" i="12"/>
  <c r="J117" i="12"/>
  <c r="L128" i="12"/>
  <c r="L133" i="12"/>
  <c r="L144" i="12"/>
  <c r="L149" i="12"/>
  <c r="L160" i="12"/>
  <c r="J160" i="12"/>
  <c r="L176" i="12"/>
  <c r="L190" i="12"/>
  <c r="L192" i="12"/>
  <c r="L197" i="12"/>
  <c r="L206" i="12"/>
  <c r="J206" i="12"/>
  <c r="L208" i="12"/>
  <c r="L213" i="12"/>
  <c r="L222" i="12"/>
  <c r="L224" i="12"/>
  <c r="L229" i="12"/>
  <c r="L240" i="12"/>
  <c r="L245" i="12"/>
  <c r="L254" i="12"/>
  <c r="J254" i="12"/>
  <c r="L256" i="12"/>
  <c r="L260" i="12"/>
  <c r="L262" i="12"/>
  <c r="L276" i="12"/>
  <c r="L278" i="12"/>
  <c r="L285" i="12"/>
  <c r="L292" i="12"/>
  <c r="L301" i="12"/>
  <c r="L310" i="12"/>
  <c r="L320" i="12"/>
  <c r="L325" i="12"/>
  <c r="L330" i="12"/>
  <c r="J330" i="12"/>
  <c r="L336" i="12"/>
  <c r="L338" i="12"/>
  <c r="L344" i="12"/>
  <c r="L346" i="12"/>
  <c r="L352" i="12"/>
  <c r="L354" i="12"/>
  <c r="L360" i="12"/>
  <c r="L362" i="12"/>
  <c r="J362" i="12"/>
  <c r="L368" i="12"/>
  <c r="L370" i="12"/>
  <c r="L376" i="12"/>
  <c r="L391" i="12"/>
  <c r="L394" i="12"/>
  <c r="L398" i="12"/>
  <c r="L418" i="12"/>
  <c r="L422" i="12"/>
  <c r="L453" i="12"/>
  <c r="J453" i="12"/>
  <c r="L471" i="12"/>
  <c r="L474" i="12"/>
  <c r="L480" i="12"/>
  <c r="J480" i="12"/>
  <c r="L495" i="12"/>
  <c r="L498" i="12"/>
  <c r="J323" i="12"/>
  <c r="L20" i="12"/>
  <c r="L25" i="12"/>
  <c r="L41" i="12"/>
  <c r="L57" i="12"/>
  <c r="L68" i="12"/>
  <c r="L84" i="12"/>
  <c r="J84" i="12"/>
  <c r="L89" i="12"/>
  <c r="L105" i="12"/>
  <c r="L113" i="12"/>
  <c r="L124" i="12"/>
  <c r="L129" i="12"/>
  <c r="L145" i="12"/>
  <c r="J145" i="12"/>
  <c r="L172" i="12"/>
  <c r="J172" i="12"/>
  <c r="L177" i="12"/>
  <c r="L188" i="12"/>
  <c r="J188" i="12"/>
  <c r="L193" i="12"/>
  <c r="L209" i="12"/>
  <c r="L225" i="12"/>
  <c r="L241" i="12"/>
  <c r="L257" i="12"/>
  <c r="L289" i="12"/>
  <c r="L306" i="12"/>
  <c r="L308" i="12"/>
  <c r="J308" i="12"/>
  <c r="L328" i="12"/>
  <c r="J328" i="12"/>
  <c r="L331" i="12"/>
  <c r="L381" i="12"/>
  <c r="L385" i="12"/>
  <c r="J385" i="12"/>
  <c r="L419" i="12"/>
  <c r="L444" i="12"/>
  <c r="J461" i="12"/>
  <c r="L468" i="12"/>
  <c r="L489" i="12"/>
  <c r="L492" i="12"/>
  <c r="J287" i="12"/>
  <c r="J61" i="12"/>
  <c r="J315" i="12"/>
  <c r="L430" i="12"/>
  <c r="L33" i="12"/>
  <c r="L8" i="12"/>
  <c r="L16" i="12"/>
  <c r="L28" i="12"/>
  <c r="L49" i="12"/>
  <c r="L65" i="12"/>
  <c r="L76" i="12"/>
  <c r="L81" i="12"/>
  <c r="L92" i="12"/>
  <c r="L97" i="12"/>
  <c r="L116" i="12"/>
  <c r="J116" i="12"/>
  <c r="L121" i="12"/>
  <c r="L137" i="12"/>
  <c r="L153" i="12"/>
  <c r="L164" i="12"/>
  <c r="L169" i="12"/>
  <c r="L180" i="12"/>
  <c r="J180" i="12"/>
  <c r="L185" i="12"/>
  <c r="L201" i="12"/>
  <c r="L217" i="12"/>
  <c r="L228" i="12"/>
  <c r="L233" i="12"/>
  <c r="L244" i="12"/>
  <c r="J244" i="12"/>
  <c r="L249" i="12"/>
  <c r="L265" i="12"/>
  <c r="L281" i="12"/>
  <c r="L312" i="12"/>
  <c r="J317" i="12"/>
  <c r="L317" i="12"/>
  <c r="L319" i="12"/>
  <c r="L322" i="12"/>
  <c r="J322" i="12"/>
  <c r="L379" i="12"/>
  <c r="L383" i="12"/>
  <c r="L401" i="12"/>
  <c r="L425" i="12"/>
  <c r="L428" i="12"/>
  <c r="L483" i="12"/>
  <c r="J327" i="12"/>
  <c r="J183" i="12"/>
  <c r="J49" i="12"/>
  <c r="L454" i="12"/>
  <c r="L161" i="12"/>
  <c r="L313" i="12"/>
  <c r="L329" i="12"/>
  <c r="L339" i="12"/>
  <c r="L347" i="12"/>
  <c r="L355" i="12"/>
  <c r="L363" i="12"/>
  <c r="L371" i="12"/>
  <c r="L380" i="12"/>
  <c r="L392" i="12"/>
  <c r="L408" i="12"/>
  <c r="L411" i="12"/>
  <c r="L417" i="12"/>
  <c r="L420" i="12"/>
  <c r="L429" i="12"/>
  <c r="L435" i="12"/>
  <c r="L447" i="12"/>
  <c r="L469" i="12"/>
  <c r="L475" i="12"/>
  <c r="L481" i="12"/>
  <c r="J478" i="12"/>
  <c r="L484" i="12"/>
  <c r="L476" i="12"/>
  <c r="L460" i="12"/>
  <c r="L452" i="12"/>
  <c r="L436" i="12"/>
  <c r="L397" i="12"/>
  <c r="L386" i="12"/>
  <c r="L375" i="12"/>
  <c r="L365" i="12"/>
  <c r="L396" i="12"/>
  <c r="L409" i="12"/>
  <c r="L414" i="12"/>
  <c r="L439" i="12"/>
  <c r="L463" i="12"/>
  <c r="L473" i="12"/>
  <c r="L487" i="12"/>
  <c r="N2" i="12"/>
  <c r="M2" i="12"/>
  <c r="J481" i="12"/>
  <c r="J457" i="12"/>
  <c r="J421" i="12"/>
  <c r="J405" i="12"/>
  <c r="J377" i="12"/>
  <c r="J357" i="12"/>
  <c r="J337" i="12"/>
  <c r="L490" i="12"/>
  <c r="L466" i="12"/>
  <c r="L442" i="12"/>
  <c r="L426" i="12"/>
  <c r="L415" i="12"/>
  <c r="L405" i="12"/>
  <c r="L321" i="12"/>
  <c r="L335" i="12"/>
  <c r="L351" i="12"/>
  <c r="L384" i="12"/>
  <c r="L387" i="12"/>
  <c r="L400" i="12"/>
  <c r="L403" i="12"/>
  <c r="L427" i="12"/>
  <c r="L437" i="12"/>
  <c r="L461" i="12"/>
  <c r="L467" i="12"/>
  <c r="L479" i="12"/>
  <c r="J488" i="12"/>
  <c r="J464" i="12"/>
  <c r="J448" i="12"/>
  <c r="J424" i="12"/>
  <c r="J400" i="12"/>
  <c r="J380" i="12"/>
  <c r="L488" i="12"/>
  <c r="L472" i="12"/>
  <c r="L448" i="12"/>
  <c r="L440" i="12"/>
  <c r="L423" i="12"/>
  <c r="L402" i="12"/>
  <c r="J384" i="12" l="1"/>
  <c r="J432" i="12"/>
  <c r="J496" i="12"/>
  <c r="J341" i="12"/>
  <c r="J389" i="12"/>
  <c r="J469" i="12"/>
  <c r="J402" i="12"/>
  <c r="J404" i="12"/>
  <c r="J265" i="12"/>
  <c r="J65" i="12"/>
  <c r="J79" i="12"/>
  <c r="J273" i="12"/>
  <c r="J204" i="12"/>
  <c r="J36" i="12"/>
  <c r="J394" i="12"/>
  <c r="J294" i="12"/>
  <c r="J213" i="12"/>
  <c r="J227" i="12"/>
  <c r="J7" i="12"/>
  <c r="J372" i="12"/>
  <c r="J83" i="12"/>
  <c r="J103" i="12"/>
  <c r="J408" i="12"/>
  <c r="J452" i="12"/>
  <c r="J472" i="12"/>
  <c r="J313" i="12"/>
  <c r="J361" i="12"/>
  <c r="J409" i="12"/>
  <c r="J429" i="12"/>
  <c r="J485" i="12"/>
  <c r="J490" i="12"/>
  <c r="J119" i="12"/>
  <c r="J471" i="12"/>
  <c r="J390" i="12"/>
  <c r="J132" i="12"/>
  <c r="J16" i="12"/>
  <c r="J495" i="12"/>
  <c r="J406" i="12"/>
  <c r="J236" i="12"/>
  <c r="J100" i="12"/>
  <c r="J498" i="12"/>
  <c r="J370" i="12"/>
  <c r="J320" i="12"/>
  <c r="J285" i="12"/>
  <c r="J128" i="12"/>
  <c r="J47" i="12"/>
  <c r="J163" i="12"/>
  <c r="J50" i="12"/>
  <c r="J486" i="12"/>
  <c r="J283" i="12"/>
  <c r="J152" i="12"/>
  <c r="J295" i="12"/>
  <c r="J146" i="12"/>
  <c r="J39" i="12"/>
  <c r="J248" i="12"/>
  <c r="J120" i="12"/>
  <c r="L456" i="12"/>
  <c r="L496" i="12"/>
  <c r="J412" i="12"/>
  <c r="J476" i="12"/>
  <c r="L449" i="12"/>
  <c r="L359" i="12"/>
  <c r="J329" i="12"/>
  <c r="J369" i="12"/>
  <c r="J413" i="12"/>
  <c r="J473" i="12"/>
  <c r="L497" i="12"/>
  <c r="J426" i="12"/>
  <c r="L499" i="12"/>
  <c r="J135" i="12"/>
  <c r="J501" i="12"/>
  <c r="L404" i="12"/>
  <c r="J212" i="12"/>
  <c r="L196" i="12"/>
  <c r="J148" i="12"/>
  <c r="L108" i="12"/>
  <c r="L238" i="12"/>
  <c r="L450" i="12"/>
  <c r="L441" i="12"/>
  <c r="L406" i="12"/>
  <c r="J318" i="12"/>
  <c r="L273" i="12"/>
  <c r="L236" i="12"/>
  <c r="L204" i="12"/>
  <c r="J161" i="12"/>
  <c r="L140" i="12"/>
  <c r="L100" i="12"/>
  <c r="J52" i="12"/>
  <c r="L12" i="12"/>
  <c r="J414" i="12"/>
  <c r="L294" i="12"/>
  <c r="J269" i="12"/>
  <c r="J181" i="12"/>
  <c r="L158" i="12"/>
  <c r="J142" i="12"/>
  <c r="J93" i="12"/>
  <c r="L70" i="12"/>
  <c r="J24" i="12"/>
  <c r="L19" i="12"/>
  <c r="L286" i="12"/>
  <c r="L227" i="12"/>
  <c r="J178" i="12"/>
  <c r="L150" i="12"/>
  <c r="L358" i="12"/>
  <c r="L340" i="12"/>
  <c r="J296" i="12"/>
  <c r="J171" i="12"/>
  <c r="L83" i="12"/>
  <c r="J46" i="12"/>
  <c r="J307" i="12"/>
  <c r="J170" i="12"/>
  <c r="J48" i="12"/>
  <c r="J268" i="12"/>
  <c r="L237" i="12"/>
  <c r="J21" i="12"/>
  <c r="J11" i="12"/>
  <c r="L470" i="12"/>
  <c r="L433" i="12"/>
  <c r="J199" i="12"/>
  <c r="J470" i="12"/>
  <c r="J365" i="12"/>
  <c r="J196" i="12"/>
  <c r="J44" i="12"/>
  <c r="J331" i="12"/>
  <c r="J454" i="12"/>
  <c r="J441" i="12"/>
  <c r="J252" i="12"/>
  <c r="J220" i="12"/>
  <c r="J12" i="12"/>
  <c r="J338" i="12"/>
  <c r="J305" i="12"/>
  <c r="J260" i="12"/>
  <c r="J174" i="12"/>
  <c r="J86" i="12"/>
  <c r="J19" i="12"/>
  <c r="J90" i="12"/>
  <c r="J434" i="12"/>
  <c r="J340" i="12"/>
  <c r="J216" i="12"/>
  <c r="J13" i="12"/>
  <c r="J263" i="12"/>
  <c r="J210" i="12"/>
  <c r="J311" i="12"/>
  <c r="J184" i="12"/>
  <c r="J66" i="12"/>
  <c r="J392" i="12"/>
  <c r="J436" i="12"/>
  <c r="J456" i="12"/>
  <c r="L491" i="12"/>
  <c r="L424" i="12"/>
  <c r="J345" i="12"/>
  <c r="J393" i="12"/>
  <c r="J433" i="12"/>
  <c r="J493" i="12"/>
  <c r="L457" i="12"/>
  <c r="L393" i="12"/>
  <c r="L377" i="12"/>
  <c r="J231" i="12"/>
  <c r="L390" i="12"/>
  <c r="J324" i="12"/>
  <c r="J297" i="12"/>
  <c r="L132" i="12"/>
  <c r="J81" i="12"/>
  <c r="L44" i="12"/>
  <c r="J111" i="12"/>
  <c r="J468" i="12"/>
  <c r="J306" i="12"/>
  <c r="L252" i="12"/>
  <c r="L220" i="12"/>
  <c r="J177" i="12"/>
  <c r="J113" i="12"/>
  <c r="L73" i="12"/>
  <c r="L36" i="12"/>
  <c r="J449" i="12"/>
  <c r="J346" i="12"/>
  <c r="L327" i="12"/>
  <c r="L305" i="12"/>
  <c r="J224" i="12"/>
  <c r="L174" i="12"/>
  <c r="L109" i="12"/>
  <c r="L86" i="12"/>
  <c r="J56" i="12"/>
  <c r="L38" i="12"/>
  <c r="J242" i="12"/>
  <c r="L214" i="12"/>
  <c r="L163" i="12"/>
  <c r="J114" i="12"/>
  <c r="J69" i="12"/>
  <c r="J17" i="12"/>
  <c r="L482" i="12"/>
  <c r="J455" i="12"/>
  <c r="L372" i="12"/>
  <c r="J348" i="12"/>
  <c r="L326" i="12"/>
  <c r="J235" i="12"/>
  <c r="J110" i="12"/>
  <c r="L59" i="12"/>
  <c r="L13" i="12"/>
  <c r="L295" i="12"/>
  <c r="J275" i="12"/>
  <c r="L263" i="12"/>
  <c r="J234" i="12"/>
  <c r="J112" i="12"/>
  <c r="J316" i="12"/>
  <c r="J203" i="12"/>
  <c r="J139" i="12"/>
  <c r="J85" i="12"/>
  <c r="L345" i="12"/>
  <c r="L432" i="12"/>
  <c r="L464" i="12"/>
  <c r="J499" i="12"/>
  <c r="J396" i="12"/>
  <c r="J420" i="12"/>
  <c r="J440" i="12"/>
  <c r="J460" i="12"/>
  <c r="J484" i="12"/>
  <c r="L443" i="12"/>
  <c r="J333" i="12"/>
  <c r="J353" i="12"/>
  <c r="J373" i="12"/>
  <c r="J397" i="12"/>
  <c r="J417" i="12"/>
  <c r="J445" i="12"/>
  <c r="J477" i="12"/>
  <c r="J497" i="12"/>
  <c r="L451" i="12"/>
  <c r="L412" i="12"/>
  <c r="L343" i="12"/>
  <c r="J442" i="12"/>
  <c r="L493" i="12"/>
  <c r="L459" i="12"/>
  <c r="L395" i="12"/>
  <c r="J167" i="12"/>
  <c r="J247" i="12"/>
  <c r="L501" i="12"/>
  <c r="J425" i="12"/>
  <c r="J401" i="12"/>
  <c r="L324" i="12"/>
  <c r="L297" i="12"/>
  <c r="J228" i="12"/>
  <c r="L212" i="12"/>
  <c r="J164" i="12"/>
  <c r="L148" i="12"/>
  <c r="J97" i="12"/>
  <c r="L60" i="12"/>
  <c r="J28" i="12"/>
  <c r="J8" i="12"/>
  <c r="J25" i="12"/>
  <c r="J33" i="12"/>
  <c r="J271" i="12"/>
  <c r="J492" i="12"/>
  <c r="L465" i="12"/>
  <c r="J446" i="12"/>
  <c r="J437" i="12"/>
  <c r="L388" i="12"/>
  <c r="L318" i="12"/>
  <c r="J257" i="12"/>
  <c r="J241" i="12"/>
  <c r="J225" i="12"/>
  <c r="J209" i="12"/>
  <c r="L156" i="12"/>
  <c r="J129" i="12"/>
  <c r="J68" i="12"/>
  <c r="L52" i="12"/>
  <c r="L4" i="12"/>
  <c r="J422" i="12"/>
  <c r="J398" i="12"/>
  <c r="J354" i="12"/>
  <c r="J325" i="12"/>
  <c r="J310" i="12"/>
  <c r="J301" i="12"/>
  <c r="J292" i="12"/>
  <c r="J278" i="12"/>
  <c r="L269" i="12"/>
  <c r="J240" i="12"/>
  <c r="J192" i="12"/>
  <c r="L181" i="12"/>
  <c r="L165" i="12"/>
  <c r="J149" i="12"/>
  <c r="L142" i="12"/>
  <c r="L126" i="12"/>
  <c r="J104" i="12"/>
  <c r="L93" i="12"/>
  <c r="J63" i="12"/>
  <c r="J31" i="12"/>
  <c r="J321" i="12"/>
  <c r="J270" i="12"/>
  <c r="J202" i="12"/>
  <c r="J138" i="12"/>
  <c r="J35" i="12"/>
  <c r="J407" i="12"/>
  <c r="J378" i="12"/>
  <c r="L366" i="12"/>
  <c r="J356" i="12"/>
  <c r="L348" i="12"/>
  <c r="L334" i="12"/>
  <c r="J304" i="12"/>
  <c r="J264" i="12"/>
  <c r="L235" i="12"/>
  <c r="L211" i="12"/>
  <c r="J198" i="12"/>
  <c r="L171" i="12"/>
  <c r="L147" i="12"/>
  <c r="J134" i="12"/>
  <c r="L110" i="12"/>
  <c r="J55" i="12"/>
  <c r="L46" i="12"/>
  <c r="L307" i="12"/>
  <c r="J279" i="12"/>
  <c r="L261" i="12"/>
  <c r="J253" i="12"/>
  <c r="J189" i="12"/>
  <c r="J125" i="12"/>
  <c r="J67" i="12"/>
  <c r="J9" i="12"/>
  <c r="L316" i="12"/>
  <c r="J284" i="12"/>
  <c r="L243" i="12"/>
  <c r="J230" i="12"/>
  <c r="L203" i="12"/>
  <c r="L179" i="12"/>
  <c r="J166" i="12"/>
  <c r="L139" i="12"/>
  <c r="L115" i="12"/>
  <c r="J91" i="12"/>
  <c r="L51" i="12"/>
  <c r="J27" i="12"/>
  <c r="L21" i="12"/>
  <c r="L421" i="12"/>
  <c r="L369" i="12"/>
  <c r="L445" i="12"/>
  <c r="L287" i="12"/>
  <c r="J276" i="12"/>
  <c r="J262" i="12"/>
  <c r="J256" i="12"/>
  <c r="J245" i="12"/>
  <c r="J238" i="12"/>
  <c r="J54" i="12"/>
  <c r="J45" i="12"/>
  <c r="J38" i="12"/>
  <c r="J29" i="12"/>
  <c r="J483" i="12"/>
  <c r="J75" i="12"/>
  <c r="J26" i="12"/>
  <c r="J14" i="12"/>
  <c r="J500" i="12"/>
  <c r="J482" i="12"/>
  <c r="J458" i="12"/>
  <c r="J431" i="12"/>
  <c r="J382" i="12"/>
  <c r="J374" i="12"/>
  <c r="J366" i="12"/>
  <c r="J358" i="12"/>
  <c r="J350" i="12"/>
  <c r="J342" i="12"/>
  <c r="J334" i="12"/>
  <c r="J326" i="12"/>
  <c r="J299" i="12"/>
  <c r="J288" i="12"/>
  <c r="J280" i="12"/>
  <c r="J250" i="12"/>
  <c r="J226" i="12"/>
  <c r="J211" i="12"/>
  <c r="J205" i="12"/>
  <c r="J186" i="12"/>
  <c r="J162" i="12"/>
  <c r="J147" i="12"/>
  <c r="J141" i="12"/>
  <c r="J122" i="12"/>
  <c r="J98" i="12"/>
  <c r="J74" i="12"/>
  <c r="J59" i="12"/>
  <c r="J53" i="12"/>
  <c r="J34" i="12"/>
  <c r="J10" i="12"/>
  <c r="J419" i="12"/>
  <c r="J298" i="12"/>
  <c r="J293" i="12"/>
  <c r="J282" i="12"/>
  <c r="J277" i="12"/>
  <c r="J266" i="12"/>
  <c r="J261" i="12"/>
  <c r="J255" i="12"/>
  <c r="J246" i="12"/>
  <c r="J219" i="12"/>
  <c r="J200" i="12"/>
  <c r="J191" i="12"/>
  <c r="J182" i="12"/>
  <c r="J155" i="12"/>
  <c r="J136" i="12"/>
  <c r="J127" i="12"/>
  <c r="J107" i="12"/>
  <c r="J101" i="12"/>
  <c r="J82" i="12"/>
  <c r="J58" i="12"/>
  <c r="J43" i="12"/>
  <c r="J37" i="12"/>
  <c r="J15" i="12"/>
  <c r="J6" i="12"/>
  <c r="J314" i="12"/>
  <c r="J309" i="12"/>
  <c r="J290" i="12"/>
  <c r="J274" i="12"/>
  <c r="J258" i="12"/>
  <c r="J243" i="12"/>
  <c r="J237" i="12"/>
  <c r="J218" i="12"/>
  <c r="J194" i="12"/>
  <c r="J179" i="12"/>
  <c r="J173" i="12"/>
  <c r="J154" i="12"/>
  <c r="J130" i="12"/>
  <c r="J115" i="12"/>
  <c r="J96" i="12"/>
  <c r="J87" i="12"/>
  <c r="J78" i="12"/>
  <c r="J51" i="12"/>
  <c r="J32" i="12"/>
  <c r="J23" i="12"/>
  <c r="J18" i="12"/>
  <c r="J5" i="12"/>
  <c r="J386" i="12"/>
  <c r="J466" i="12"/>
  <c r="J151" i="12"/>
  <c r="J215" i="12"/>
  <c r="J391" i="12"/>
  <c r="J494" i="12"/>
  <c r="J428" i="12"/>
  <c r="J349" i="12"/>
  <c r="J312" i="12"/>
  <c r="J281" i="12"/>
  <c r="J249" i="12"/>
  <c r="J233" i="12"/>
  <c r="J217" i="12"/>
  <c r="J201" i="12"/>
  <c r="J185" i="12"/>
  <c r="J169" i="12"/>
  <c r="J153" i="12"/>
  <c r="J137" i="12"/>
  <c r="J121" i="12"/>
  <c r="J108" i="12"/>
  <c r="J92" i="12"/>
  <c r="J76" i="12"/>
  <c r="J60" i="12"/>
  <c r="J95" i="12"/>
  <c r="J303" i="12"/>
  <c r="J489" i="12"/>
  <c r="J465" i="12"/>
  <c r="J450" i="12"/>
  <c r="J444" i="12"/>
  <c r="J430" i="12"/>
  <c r="J388" i="12"/>
  <c r="J381" i="12"/>
  <c r="J289" i="12"/>
  <c r="J193" i="12"/>
  <c r="J156" i="12"/>
  <c r="J140" i="12"/>
  <c r="J124" i="12"/>
  <c r="J105" i="12"/>
  <c r="J89" i="12"/>
  <c r="J73" i="12"/>
  <c r="J57" i="12"/>
  <c r="J20" i="12"/>
  <c r="J4" i="12"/>
  <c r="J474" i="12"/>
  <c r="J418" i="12"/>
  <c r="J376" i="12"/>
  <c r="J368" i="12"/>
  <c r="J360" i="12"/>
  <c r="J352" i="12"/>
  <c r="J344" i="12"/>
  <c r="J336" i="12"/>
  <c r="J229" i="12"/>
  <c r="J222" i="12"/>
  <c r="J208" i="12"/>
  <c r="J197" i="12"/>
  <c r="J190" i="12"/>
  <c r="J176" i="12"/>
  <c r="J165" i="12"/>
  <c r="J158" i="12"/>
  <c r="J144" i="12"/>
  <c r="J133" i="12"/>
  <c r="J126" i="12"/>
  <c r="J109" i="12"/>
  <c r="J102" i="12"/>
  <c r="J88" i="12"/>
  <c r="J77" i="12"/>
  <c r="J70" i="12"/>
  <c r="J22" i="12"/>
  <c r="J383" i="12"/>
  <c r="J286" i="12"/>
  <c r="J251" i="12"/>
  <c r="J232" i="12"/>
  <c r="J223" i="12"/>
  <c r="J214" i="12"/>
  <c r="J187" i="12"/>
  <c r="J168" i="12"/>
  <c r="J159" i="12"/>
  <c r="J150" i="12"/>
  <c r="J123" i="12"/>
  <c r="J99" i="12"/>
  <c r="J80" i="12"/>
  <c r="J71" i="12"/>
  <c r="J62" i="12"/>
  <c r="J41" i="12"/>
  <c r="J438" i="12"/>
  <c r="J410" i="12"/>
  <c r="J267" i="12"/>
  <c r="J319" i="12"/>
  <c r="J118" i="12"/>
  <c r="J2" i="12"/>
  <c r="J343" i="12"/>
  <c r="J359" i="12"/>
  <c r="J375" i="12"/>
  <c r="J423" i="12"/>
  <c r="J439" i="12"/>
  <c r="J487" i="12"/>
  <c r="J347" i="12"/>
  <c r="L2" i="12"/>
  <c r="J335" i="12"/>
  <c r="J351" i="12"/>
  <c r="J367" i="12"/>
  <c r="J399" i="12"/>
  <c r="J415" i="12"/>
  <c r="J447" i="12"/>
  <c r="J463" i="12"/>
  <c r="J479" i="12"/>
  <c r="J339" i="12"/>
  <c r="J355" i="12"/>
  <c r="J371" i="12"/>
  <c r="J387" i="12"/>
  <c r="J403" i="12"/>
  <c r="J435" i="12"/>
  <c r="J451" i="12"/>
  <c r="J467" i="12"/>
  <c r="J379" i="12"/>
  <c r="J443" i="12"/>
  <c r="J395" i="12"/>
  <c r="J459" i="12"/>
  <c r="J411" i="12"/>
  <c r="J475" i="12"/>
  <c r="J363" i="12"/>
  <c r="J427" i="12"/>
  <c r="J491" i="12"/>
</calcChain>
</file>

<file path=xl/sharedStrings.xml><?xml version="1.0" encoding="utf-8"?>
<sst xmlns="http://schemas.openxmlformats.org/spreadsheetml/2006/main" count="1099" uniqueCount="64">
  <si>
    <t>Roll No</t>
  </si>
  <si>
    <t>Name</t>
  </si>
  <si>
    <t>English</t>
  </si>
  <si>
    <t>Math</t>
  </si>
  <si>
    <t>Science</t>
  </si>
  <si>
    <t>Total</t>
  </si>
  <si>
    <t>Percentage</t>
  </si>
  <si>
    <t>Grade</t>
  </si>
  <si>
    <t>Rahul</t>
  </si>
  <si>
    <t>Anjali</t>
  </si>
  <si>
    <t>Sneha</t>
  </si>
  <si>
    <t>Karan</t>
  </si>
  <si>
    <t>Pooja</t>
  </si>
  <si>
    <t>Amit</t>
  </si>
  <si>
    <t>Priya</t>
  </si>
  <si>
    <t>Ravi</t>
  </si>
  <si>
    <t>Calculate the Total Marks for each student using all subject columns.</t>
  </si>
  <si>
    <t>Find the Average Marks of each student.</t>
  </si>
  <si>
    <t>Use an IF formula to determine whether a student is Pass or Fail (Pass ≥ 40).</t>
  </si>
  <si>
    <t>Count how many students have passed using COUNTIF.</t>
  </si>
  <si>
    <t>Count how many students have failed.</t>
  </si>
  <si>
    <t>Find the highest marks in each subject using MAX.</t>
  </si>
  <si>
    <t>Find the lowest marks in each subject using MIN.</t>
  </si>
  <si>
    <t>Calculate the overall class average for a subject.</t>
  </si>
  <si>
    <t>Use RANK function to rank students based on Total Marks.</t>
  </si>
  <si>
    <t>Assign grades using nested IF:</t>
  </si>
  <si>
    <t>A (≥ 80)</t>
  </si>
  <si>
    <t>B (≥ 60)</t>
  </si>
  <si>
    <t>C (≥ 40)</t>
  </si>
  <si>
    <t>F (&lt; 40)</t>
  </si>
  <si>
    <t>Highlight students who scored less than 40 using Conditional Formatting.</t>
  </si>
  <si>
    <t>Use VLOOKUP to fetch student marks based on Student ID from another table.</t>
  </si>
  <si>
    <t>Find students who scored above average in the class.</t>
  </si>
  <si>
    <t xml:space="preserve"> </t>
  </si>
  <si>
    <t>Highest Marks in each subject</t>
  </si>
  <si>
    <t>Average class for a subject</t>
  </si>
  <si>
    <t>Rank Students based on total marks</t>
  </si>
  <si>
    <t>VLOOKUP</t>
  </si>
  <si>
    <t>Row Labels</t>
  </si>
  <si>
    <t>Grand Total</t>
  </si>
  <si>
    <t>Sum of English</t>
  </si>
  <si>
    <t>Sum of Total</t>
  </si>
  <si>
    <t>A</t>
  </si>
  <si>
    <t>B</t>
  </si>
  <si>
    <t>C</t>
  </si>
  <si>
    <t xml:space="preserve">C </t>
  </si>
  <si>
    <t>Count of Name</t>
  </si>
  <si>
    <t>Pass</t>
  </si>
  <si>
    <t>Sum of Math</t>
  </si>
  <si>
    <t>Sum of Science</t>
  </si>
  <si>
    <t>Pass/FAIL</t>
  </si>
  <si>
    <t>Above Average in the class</t>
  </si>
  <si>
    <t>Distinction</t>
  </si>
  <si>
    <t>Count Pass Student</t>
  </si>
  <si>
    <t>Count Fail Students</t>
  </si>
  <si>
    <t>Lowest marks in each subject</t>
  </si>
  <si>
    <t>Student ID</t>
  </si>
  <si>
    <t xml:space="preserve">     Fetch Different Subject</t>
  </si>
  <si>
    <t>Column1</t>
  </si>
  <si>
    <t>Average of Total</t>
  </si>
  <si>
    <t>Rank</t>
  </si>
  <si>
    <t>F</t>
  </si>
  <si>
    <t>DASHBOARD</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</si>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</sst>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b/>
      <sz val="11"/>
      <name val="Calibri"/>
      <family val="2"/>
    </font>
    <font>
      <sz val="11"/>
      <color theme="0"/>
      <name val="Calibri"/>
      <family val="2"/>
      <scheme val="minor"/>
    </font>
    <font>
      <sz val="22"/>
      <color theme="0"/>
      <name val="Calibri"/>
      <family val="2"/>
      <scheme val="minor"/>
    </font>
  </fonts>
  <fills count="10">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
      <patternFill patternType="solid">
        <fgColor theme="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0" fillId="0" borderId="1" xfId="0" applyBorder="1"/>
    <xf numFmtId="0" fontId="3" fillId="0" borderId="1" xfId="0" applyFont="1" applyBorder="1" applyAlignment="1">
      <alignment horizontal="center"/>
    </xf>
    <xf numFmtId="0" fontId="3" fillId="2" borderId="1" xfId="0" applyFont="1" applyFill="1" applyBorder="1" applyAlignment="1">
      <alignment horizontal="center"/>
    </xf>
    <xf numFmtId="0" fontId="3" fillId="4" borderId="1" xfId="0" applyFont="1" applyFill="1" applyBorder="1" applyAlignment="1">
      <alignment horizontal="center"/>
    </xf>
    <xf numFmtId="0" fontId="3" fillId="5" borderId="1" xfId="0" applyFont="1" applyFill="1" applyBorder="1" applyAlignment="1">
      <alignment horizontal="center"/>
    </xf>
    <xf numFmtId="0" fontId="1" fillId="5" borderId="1" xfId="0" applyFont="1" applyFill="1" applyBorder="1" applyAlignment="1">
      <alignment horizontal="center"/>
    </xf>
    <xf numFmtId="0" fontId="2" fillId="2" borderId="1" xfId="0" applyFont="1" applyFill="1" applyBorder="1"/>
    <xf numFmtId="0" fontId="2" fillId="5" borderId="0" xfId="0" applyFont="1" applyFill="1"/>
    <xf numFmtId="0" fontId="2" fillId="6" borderId="0" xfId="0" applyFont="1" applyFill="1"/>
    <xf numFmtId="0" fontId="3" fillId="3" borderId="0" xfId="0" applyFont="1" applyFill="1" applyAlignment="1">
      <alignment horizontal="center"/>
    </xf>
    <xf numFmtId="0" fontId="1" fillId="7" borderId="0" xfId="0" applyFont="1" applyFill="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0" fillId="0" borderId="0" xfId="0" applyFill="1"/>
    <xf numFmtId="0" fontId="0" fillId="0" borderId="1" xfId="0" pivotButton="1" applyBorder="1"/>
    <xf numFmtId="0" fontId="0" fillId="0" borderId="1" xfId="0" applyBorder="1" applyAlignment="1">
      <alignment horizontal="left"/>
    </xf>
    <xf numFmtId="0" fontId="0" fillId="0" borderId="1" xfId="0" applyNumberFormat="1" applyBorder="1"/>
    <xf numFmtId="2" fontId="0" fillId="0" borderId="1" xfId="0" applyNumberFormat="1" applyBorder="1"/>
    <xf numFmtId="0" fontId="0" fillId="8" borderId="0" xfId="0" applyFill="1"/>
    <xf numFmtId="0" fontId="0" fillId="9" borderId="0" xfId="0" applyFill="1"/>
    <xf numFmtId="0" fontId="5" fillId="8" borderId="0" xfId="0" applyFont="1" applyFill="1"/>
    <xf numFmtId="0" fontId="4" fillId="8" borderId="0" xfId="0" applyFont="1" applyFill="1"/>
    <xf numFmtId="0" fontId="4" fillId="0" borderId="0" xfId="0" applyFont="1"/>
  </cellXfs>
  <cellStyles count="1">
    <cellStyle name="Normal" xfId="0" builtinId="0"/>
  </cellStyles>
  <dxfs count="11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i val="0"/>
        <strike val="0"/>
        <condense val="0"/>
        <extend val="0"/>
        <outline val="0"/>
        <shadow val="0"/>
        <u val="none"/>
        <vertAlign val="baseline"/>
        <sz val="11"/>
        <color auto="1"/>
        <name val="Calibri"/>
        <family val="2"/>
        <scheme val="none"/>
      </font>
      <fill>
        <patternFill patternType="solid">
          <fgColor indexed="64"/>
          <bgColor theme="9"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[SCHOOL DATA ANALYSIS.PROJECT.xlsx]Pivot Table!PivotTable1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5599398389807"/>
          <c:y val="0.13323855351414407"/>
          <c:w val="0.6428342033088561"/>
          <c:h val="0.65853091280256637"/>
        </c:manualLayout>
      </c:layout>
      <c:barChart>
        <c:barDir val="col"/>
        <c:grouping val="clustered"/>
        <c:varyColors val="0"/>
        <c:ser>
          <c:idx val="0"/>
          <c:order val="0"/>
          <c:tx>
            <c:strRef>
              <c:f>'Pivot Table'!$C$2</c:f>
              <c:strCache>
                <c:ptCount val="1"/>
                <c:pt idx="0">
                  <c:v>Sum of English</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Table'!$B$3:$B$4</c:f>
              <c:strCache>
                <c:ptCount val="1"/>
                <c:pt idx="0">
                  <c:v>Rahul</c:v>
                </c:pt>
              </c:strCache>
            </c:strRef>
          </c:cat>
          <c:val>
            <c:numRef>
              <c:f>'Pivot Table'!$C$3:$C$4</c:f>
              <c:numCache>
                <c:formatCode>General</c:formatCode>
                <c:ptCount val="1"/>
                <c:pt idx="0">
                  <c:v>3805</c:v>
                </c:pt>
              </c:numCache>
            </c:numRef>
          </c:val>
          <c:extLst>
            <c:ext xmlns:c16="http://schemas.microsoft.com/office/drawing/2014/chart" uri="{C3380CC4-5D6E-409C-BE32-E72D297353CC}">
              <c16:uniqueId val="{00000000-5516-4A9D-ABAF-627B5D8C379A}"/>
            </c:ext>
          </c:extLst>
        </c:ser>
        <c:ser>
          <c:idx val="1"/>
          <c:order val="1"/>
          <c:tx>
            <c:strRef>
              <c:f>'Pivot Table'!$D$2</c:f>
              <c:strCache>
                <c:ptCount val="1"/>
                <c:pt idx="0">
                  <c:v>Sum of Math</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Table'!$B$3:$B$4</c:f>
              <c:strCache>
                <c:ptCount val="1"/>
                <c:pt idx="0">
                  <c:v>Rahul</c:v>
                </c:pt>
              </c:strCache>
            </c:strRef>
          </c:cat>
          <c:val>
            <c:numRef>
              <c:f>'Pivot Table'!$D$3:$D$4</c:f>
              <c:numCache>
                <c:formatCode>General</c:formatCode>
                <c:ptCount val="1"/>
                <c:pt idx="0">
                  <c:v>4122</c:v>
                </c:pt>
              </c:numCache>
            </c:numRef>
          </c:val>
          <c:extLst>
            <c:ext xmlns:c16="http://schemas.microsoft.com/office/drawing/2014/chart" uri="{C3380CC4-5D6E-409C-BE32-E72D297353CC}">
              <c16:uniqueId val="{00000001-5516-4A9D-ABAF-627B5D8C379A}"/>
            </c:ext>
          </c:extLst>
        </c:ser>
        <c:ser>
          <c:idx val="2"/>
          <c:order val="2"/>
          <c:tx>
            <c:strRef>
              <c:f>'Pivot Table'!$E$2</c:f>
              <c:strCache>
                <c:ptCount val="1"/>
                <c:pt idx="0">
                  <c:v>Sum of Science</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'Pivot Table'!$B$3:$B$4</c:f>
              <c:strCache>
                <c:ptCount val="1"/>
                <c:pt idx="0">
                  <c:v>Rahul</c:v>
                </c:pt>
              </c:strCache>
            </c:strRef>
          </c:cat>
          <c:val>
            <c:numRef>
              <c:f>'Pivot Table'!$E$3:$E$4</c:f>
              <c:numCache>
                <c:formatCode>General</c:formatCode>
                <c:ptCount val="1"/>
                <c:pt idx="0">
                  <c:v>3876</c:v>
                </c:pt>
              </c:numCache>
            </c:numRef>
          </c:val>
          <c:extLst>
            <c:ext xmlns:c16="http://schemas.microsoft.com/office/drawing/2014/chart" uri="{C3380CC4-5D6E-409C-BE32-E72D297353CC}">
              <c16:uniqueId val="{00000002-5516-4A9D-ABAF-627B5D8C379A}"/>
            </c:ext>
          </c:extLst>
        </c:ser>
        <c:ser>
          <c:idx val="3"/>
          <c:order val="3"/>
          <c:tx>
            <c:strRef>
              <c:f>'Pivot Table'!$F$2</c:f>
              <c:strCache>
                <c:ptCount val="1"/>
                <c:pt idx="0">
                  <c:v>Sum of Total</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'Pivot Table'!$B$3:$B$4</c:f>
              <c:strCache>
                <c:ptCount val="1"/>
                <c:pt idx="0">
                  <c:v>Rahul</c:v>
                </c:pt>
              </c:strCache>
            </c:strRef>
          </c:cat>
          <c:val>
            <c:numRef>
              <c:f>'Pivot Table'!$F$3:$F$4</c:f>
              <c:numCache>
                <c:formatCode>General</c:formatCode>
                <c:ptCount val="1"/>
                <c:pt idx="0">
                  <c:v>11803</c:v>
                </c:pt>
              </c:numCache>
            </c:numRef>
          </c:val>
          <c:extLst>
            <c:ext xmlns:c16="http://schemas.microsoft.com/office/drawing/2014/chart" uri="{C3380CC4-5D6E-409C-BE32-E72D297353CC}">
              <c16:uniqueId val="{00000003-5516-4A9D-ABAF-627B5D8C379A}"/>
            </c:ext>
          </c:extLst>
        </c:ser>
        <c:dLbls>
          <c:showLegendKey val="0"/>
          <c:showVal val="0"/>
          <c:showCatName val="0"/>
          <c:showSerName val="0"/>
          <c:showPercent val="0"/>
          <c:showBubbleSize val="0"/>
        </c:dLbls>
        <c:gapWidth val="164"/>
        <c:overlap val="-22"/>
        <c:axId val="353015008"/>
        <c:axId val="353015968"/>
      </c:barChart>
      <c:catAx>
        <c:axId val="3530150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015968"/>
        <c:crosses val="autoZero"/>
        <c:auto val="1"/>
        <c:lblAlgn val="ctr"/>
        <c:lblOffset val="100"/>
        <c:noMultiLvlLbl val="0"/>
      </c:catAx>
      <c:valAx>
        <c:axId val="353015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01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Amit</c:v>
              </c:pt>
              <c:pt idx="1">
                <c:v>Anjali</c:v>
              </c:pt>
              <c:pt idx="2">
                <c:v>Karan</c:v>
              </c:pt>
              <c:pt idx="3">
                <c:v>Pooja</c:v>
              </c:pt>
              <c:pt idx="4">
                <c:v>Priya</c:v>
              </c:pt>
              <c:pt idx="5">
                <c:v>Rahul</c:v>
              </c:pt>
              <c:pt idx="6">
                <c:v>Ravi</c:v>
              </c:pt>
              <c:pt idx="7">
                <c:v>Sneha</c:v>
              </c:pt>
            </c:strLit>
          </c:cat>
          <c:val>
            <c:numLit>
              <c:formatCode>General</c:formatCode>
              <c:ptCount val="8"/>
              <c:pt idx="0">
                <c:v>192.66666666666666</c:v>
              </c:pt>
              <c:pt idx="1">
                <c:v>194.83050847457628</c:v>
              </c:pt>
              <c:pt idx="2">
                <c:v>197.04545454545453</c:v>
              </c:pt>
              <c:pt idx="3">
                <c:v>191.85714285714286</c:v>
              </c:pt>
              <c:pt idx="4">
                <c:v>192.36363636363637</c:v>
              </c:pt>
              <c:pt idx="5">
                <c:v>192.01612903225808</c:v>
              </c:pt>
              <c:pt idx="6">
                <c:v>191.68965517241378</c:v>
              </c:pt>
              <c:pt idx="7">
                <c:v>194.94444444444446</c:v>
              </c:pt>
            </c:numLit>
          </c:val>
          <c:extLst>
            <c:ext xmlns:c16="http://schemas.microsoft.com/office/drawing/2014/chart" uri="{C3380CC4-5D6E-409C-BE32-E72D297353CC}">
              <c16:uniqueId val="{00000000-AD9A-459B-8BFC-4162AF5FC41E}"/>
            </c:ext>
          </c:extLst>
        </c:ser>
        <c:dLbls>
          <c:showLegendKey val="0"/>
          <c:showVal val="0"/>
          <c:showCatName val="0"/>
          <c:showSerName val="0"/>
          <c:showPercent val="0"/>
          <c:showBubbleSize val="0"/>
        </c:dLbls>
        <c:gapWidth val="219"/>
        <c:overlap val="-27"/>
        <c:axId val="398662320"/>
        <c:axId val="398949712"/>
      </c:barChart>
      <c:catAx>
        <c:axId val="39866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949712"/>
        <c:crosses val="autoZero"/>
        <c:auto val="1"/>
        <c:lblAlgn val="ctr"/>
        <c:lblOffset val="100"/>
        <c:noMultiLvlLbl val="0"/>
      </c:catAx>
      <c:valAx>
        <c:axId val="39894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6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74-4954-AF84-F26C689A3F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74-4954-AF84-F26C689A3FBB}"/>
              </c:ext>
            </c:extLst>
          </c:dPt>
          <c:cat>
            <c:numLit>
              <c:formatCode>General</c:formatCode>
              <c:ptCount val="2"/>
              <c:pt idx="0">
                <c:v>0</c:v>
              </c:pt>
              <c:pt idx="1">
                <c:v>0</c:v>
              </c:pt>
            </c:numLit>
          </c:cat>
          <c:val>
            <c:numLit>
              <c:formatCode>General</c:formatCode>
              <c:ptCount val="2"/>
              <c:pt idx="0">
                <c:v>5</c:v>
              </c:pt>
              <c:pt idx="1">
                <c:v>495</c:v>
              </c:pt>
            </c:numLit>
          </c:val>
          <c:extLst>
            <c:ext xmlns:c16="http://schemas.microsoft.com/office/drawing/2014/chart" uri="{C3380CC4-5D6E-409C-BE32-E72D297353CC}">
              <c16:uniqueId val="{00000004-A374-4954-AF84-F26C689A3FB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434112773460231"/>
          <c:y val="0.541705826146472"/>
          <c:w val="0.17041256616663666"/>
          <c:h val="0.22894638875851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5745778652668416"/>
          <c:y val="0.23550707203266255"/>
          <c:w val="0.41147353455818025"/>
          <c:h val="0.68578922426363376"/>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77-43A2-8FFC-AB1ED6FC4E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77-43A2-8FFC-AB1ED6FC4E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77-43A2-8FFC-AB1ED6FC4E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77-43A2-8FFC-AB1ED6FC4E3C}"/>
              </c:ext>
            </c:extLst>
          </c:dPt>
          <c:cat>
            <c:strLit>
              <c:ptCount val="4"/>
              <c:pt idx="0">
                <c:v>A</c:v>
              </c:pt>
              <c:pt idx="1">
                <c:v>B</c:v>
              </c:pt>
              <c:pt idx="2">
                <c:v>C</c:v>
              </c:pt>
              <c:pt idx="3">
                <c:v>F</c:v>
              </c:pt>
            </c:strLit>
          </c:cat>
          <c:val>
            <c:numLit>
              <c:formatCode>General</c:formatCode>
              <c:ptCount val="4"/>
              <c:pt idx="0">
                <c:v>50</c:v>
              </c:pt>
              <c:pt idx="1">
                <c:v>271</c:v>
              </c:pt>
              <c:pt idx="2">
                <c:v>174</c:v>
              </c:pt>
              <c:pt idx="3">
                <c:v>5</c:v>
              </c:pt>
            </c:numLit>
          </c:val>
          <c:extLst>
            <c:ext xmlns:c16="http://schemas.microsoft.com/office/drawing/2014/chart" uri="{C3380CC4-5D6E-409C-BE32-E72D297353CC}">
              <c16:uniqueId val="{00000008-1277-43A2-8FFC-AB1ED6FC4E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351971</xdr:colOff>
      <xdr:row>0</xdr:row>
      <xdr:rowOff>311603</xdr:rowOff>
    </xdr:from>
    <xdr:to>
      <xdr:col>11</xdr:col>
      <xdr:colOff>47171</xdr:colOff>
      <xdr:row>20</xdr:row>
      <xdr:rowOff>15874</xdr:rowOff>
    </xdr:to>
    <xdr:graphicFrame macro="">
      <xdr:nvGraphicFramePr>
        <xdr:cNvPr id="2" name="Chart 3">
          <a:extLst>
            <a:ext uri="{FF2B5EF4-FFF2-40B4-BE49-F238E27FC236}">
              <a16:creationId xmlns:a16="http://schemas.microsoft.com/office/drawing/2014/main" id="{3D8E8398-1216-1629-1304-09EA46332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171450</xdr:colOff>
      <xdr:row>1</xdr:row>
      <xdr:rowOff>28575</xdr:rowOff>
    </xdr:from>
    <xdr:to>
      <xdr:col>3</xdr:col>
      <xdr:colOff>171450</xdr:colOff>
      <xdr:row>14</xdr:row>
      <xdr:rowOff>76200</xdr:rowOff>
    </xdr:to>
    <mc:AlternateContent xmlns:mc="http://schemas.openxmlformats.org/markup-compatibility/2006" xmlns:a14="http://schemas.microsoft.com/office/drawing/2010/main">
      <mc:Choice Requires="a14">
        <xdr:graphicFrame macro="">
          <xdr:nvGraphicFramePr>
            <xdr:cNvPr id="3" name="Name">
              <a:extLst>
                <a:ext uri="{FF2B5EF4-FFF2-40B4-BE49-F238E27FC236}">
                  <a16:creationId xmlns:a16="http://schemas.microsoft.com/office/drawing/2014/main" id="{D38A5144-77BC-D009-7903-9C9BFC08F3FD}"/>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71450" y="338691"/>
              <a:ext cx="1827471" cy="2495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15</xdr:row>
      <xdr:rowOff>76201</xdr:rowOff>
    </xdr:from>
    <xdr:to>
      <xdr:col>3</xdr:col>
      <xdr:colOff>209550</xdr:colOff>
      <xdr:row>20</xdr:row>
      <xdr:rowOff>76201</xdr:rowOff>
    </xdr:to>
    <mc:AlternateContent xmlns:mc="http://schemas.openxmlformats.org/markup-compatibility/2006" xmlns:a14="http://schemas.microsoft.com/office/drawing/2010/main">
      <mc:Choice Requires="a14">
        <xdr:graphicFrame macro="">
          <xdr:nvGraphicFramePr>
            <xdr:cNvPr id="7" name="Pass/FAIL">
              <a:extLst>
                <a:ext uri="{FF2B5EF4-FFF2-40B4-BE49-F238E27FC236}">
                  <a16:creationId xmlns:a16="http://schemas.microsoft.com/office/drawing/2014/main" id="{1111F3AA-1298-CB87-69E9-C099C465146A}"/>
                </a:ext>
              </a:extLst>
            </xdr:cNvPr>
            <xdr:cNvGraphicFramePr/>
          </xdr:nvGraphicFramePr>
          <xdr:xfrm>
            <a:off x="0" y="0"/>
            <a:ext cx="0" cy="0"/>
          </xdr:xfrm>
          <a:graphic>
            <a:graphicData uri="http://schemas.microsoft.com/office/drawing/2010/slicer">
              <sle:slicer xmlns:sle="http://schemas.microsoft.com/office/drawing/2010/slicer" name="Pass/FAIL"/>
            </a:graphicData>
          </a:graphic>
        </xdr:graphicFrame>
      </mc:Choice>
      <mc:Fallback xmlns="">
        <xdr:sp macro="" textlink="">
          <xdr:nvSpPr>
            <xdr:cNvPr id="0" name=""/>
            <xdr:cNvSpPr>
              <a:spLocks noTextEdit="1"/>
            </xdr:cNvSpPr>
          </xdr:nvSpPr>
          <xdr:spPr>
            <a:xfrm>
              <a:off x="209550" y="3022306"/>
              <a:ext cx="1827471" cy="941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148771</xdr:colOff>
      <xdr:row>21</xdr:row>
      <xdr:rowOff>117929</xdr:rowOff>
    </xdr:from>
    <xdr:to>
      <xdr:col>10</xdr:col>
      <xdr:colOff>453571</xdr:colOff>
      <xdr:row>36</xdr:row>
      <xdr:rowOff>3629</xdr:rowOff>
    </xdr:to>
    <xdr:graphicFrame macro="">
      <xdr:nvGraphicFramePr>
        <xdr:cNvPr id="8" name="Chart 5">
          <a:extLst>
            <a:ext uri="{FF2B5EF4-FFF2-40B4-BE49-F238E27FC236}">
              <a16:creationId xmlns:a16="http://schemas.microsoft.com/office/drawing/2014/main" id="{0A69812F-6270-3F69-B00F-0E16F46ED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66675</xdr:colOff>
      <xdr:row>21</xdr:row>
      <xdr:rowOff>142875</xdr:rowOff>
    </xdr:from>
    <xdr:to>
      <xdr:col>3</xdr:col>
      <xdr:colOff>66675</xdr:colOff>
      <xdr:row>35</xdr:row>
      <xdr:rowOff>0</xdr:rowOff>
    </xdr:to>
    <mc:AlternateContent xmlns:mc="http://schemas.openxmlformats.org/markup-compatibility/2006" xmlns:a14="http://schemas.microsoft.com/office/drawing/2010/main">
      <mc:Choice Requires="a14">
        <xdr:graphicFrame macro="">
          <xdr:nvGraphicFramePr>
            <xdr:cNvPr id="9" name="Name 1">
              <a:extLst>
                <a:ext uri="{FF2B5EF4-FFF2-40B4-BE49-F238E27FC236}">
                  <a16:creationId xmlns:a16="http://schemas.microsoft.com/office/drawing/2014/main" id="{26EC14E1-0F3D-4806-EF37-258080C758FA}"/>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66675" y="4218689"/>
              <a:ext cx="1827471" cy="2493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54529</xdr:colOff>
      <xdr:row>1</xdr:row>
      <xdr:rowOff>10332</xdr:rowOff>
    </xdr:from>
    <xdr:to>
      <xdr:col>22</xdr:col>
      <xdr:colOff>352979</xdr:colOff>
      <xdr:row>15</xdr:row>
      <xdr:rowOff>86532</xdr:rowOff>
    </xdr:to>
    <xdr:graphicFrame macro="">
      <xdr:nvGraphicFramePr>
        <xdr:cNvPr id="10" name="Chart 6">
          <a:extLst>
            <a:ext uri="{FF2B5EF4-FFF2-40B4-BE49-F238E27FC236}">
              <a16:creationId xmlns:a16="http://schemas.microsoft.com/office/drawing/2014/main" id="{E680D8EC-AD9C-FBB7-4827-9ACA502B2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31750</xdr:colOff>
      <xdr:row>1</xdr:row>
      <xdr:rowOff>12701</xdr:rowOff>
    </xdr:from>
    <xdr:to>
      <xdr:col>15</xdr:col>
      <xdr:colOff>50799</xdr:colOff>
      <xdr:row>6</xdr:row>
      <xdr:rowOff>1</xdr:rowOff>
    </xdr:to>
    <mc:AlternateContent xmlns:mc="http://schemas.openxmlformats.org/markup-compatibility/2006" xmlns:a14="http://schemas.microsoft.com/office/drawing/2010/main">
      <mc:Choice Requires="a14">
        <xdr:graphicFrame macro="">
          <xdr:nvGraphicFramePr>
            <xdr:cNvPr id="12" name="Pass/FAIL 1">
              <a:extLst>
                <a:ext uri="{FF2B5EF4-FFF2-40B4-BE49-F238E27FC236}">
                  <a16:creationId xmlns:a16="http://schemas.microsoft.com/office/drawing/2014/main" id="{1BF07116-BE87-D077-5406-729C94A8C419}"/>
                </a:ext>
              </a:extLst>
            </xdr:cNvPr>
            <xdr:cNvGraphicFramePr/>
          </xdr:nvGraphicFramePr>
          <xdr:xfrm>
            <a:off x="0" y="0"/>
            <a:ext cx="0" cy="0"/>
          </xdr:xfrm>
          <a:graphic>
            <a:graphicData uri="http://schemas.microsoft.com/office/drawing/2010/slicer">
              <sle:slicer xmlns:sle="http://schemas.microsoft.com/office/drawing/2010/slicer" name="Pass/FAIL 1"/>
            </a:graphicData>
          </a:graphic>
        </xdr:graphicFrame>
      </mc:Choice>
      <mc:Fallback xmlns="">
        <xdr:sp macro="" textlink="">
          <xdr:nvSpPr>
            <xdr:cNvPr id="0" name=""/>
            <xdr:cNvSpPr>
              <a:spLocks noTextEdit="1"/>
            </xdr:cNvSpPr>
          </xdr:nvSpPr>
          <xdr:spPr>
            <a:xfrm>
              <a:off x="7341634" y="322817"/>
              <a:ext cx="1846521" cy="9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136071</xdr:colOff>
      <xdr:row>21</xdr:row>
      <xdr:rowOff>110755</xdr:rowOff>
    </xdr:from>
    <xdr:to>
      <xdr:col>22</xdr:col>
      <xdr:colOff>188285</xdr:colOff>
      <xdr:row>35</xdr:row>
      <xdr:rowOff>81188</xdr:rowOff>
    </xdr:to>
    <xdr:graphicFrame macro="">
      <xdr:nvGraphicFramePr>
        <xdr:cNvPr id="13" name="Chart 7">
          <a:extLst>
            <a:ext uri="{FF2B5EF4-FFF2-40B4-BE49-F238E27FC236}">
              <a16:creationId xmlns:a16="http://schemas.microsoft.com/office/drawing/2014/main" id="{872F8EF3-CCC5-9EC2-A998-199B5E8FD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76200</xdr:colOff>
      <xdr:row>21</xdr:row>
      <xdr:rowOff>155575</xdr:rowOff>
    </xdr:from>
    <xdr:to>
      <xdr:col>15</xdr:col>
      <xdr:colOff>95249</xdr:colOff>
      <xdr:row>35</xdr:row>
      <xdr:rowOff>12700</xdr:rowOff>
    </xdr:to>
    <mc:AlternateContent xmlns:mc="http://schemas.openxmlformats.org/markup-compatibility/2006" xmlns:a14="http://schemas.microsoft.com/office/drawing/2010/main">
      <mc:Choice Requires="a14">
        <xdr:graphicFrame macro="">
          <xdr:nvGraphicFramePr>
            <xdr:cNvPr id="15" name="Grade">
              <a:extLst>
                <a:ext uri="{FF2B5EF4-FFF2-40B4-BE49-F238E27FC236}">
                  <a16:creationId xmlns:a16="http://schemas.microsoft.com/office/drawing/2014/main" id="{75A3C02B-880E-3D5E-04A3-E5B94C2F736D}"/>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7386084" y="4231389"/>
              <a:ext cx="1846521" cy="24931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nkar Sarkar" refreshedDate="46105.478542708333" createdVersion="8" refreshedVersion="8" minRefreshableVersion="3" recordCount="500" xr:uid="{13F5C375-460A-4B26-BCD3-1F5E1EDF8A69}">
  <cacheSource type="worksheet">
    <worksheetSource name="Table1"/>
  </cacheSource>
  <cacheFields count="16">
    <cacheField name="Roll No" numFmtId="0">
      <sharedItems containsSemiMixedTypes="0" containsString="0" containsNumber="1" containsInteger="1" minValue="101" maxValue="600"/>
    </cacheField>
    <cacheField name="Name" numFmtId="0">
      <sharedItems count="8">
        <s v="Rahul"/>
        <s v="Anjali"/>
        <s v="Sneha"/>
        <s v="Karan"/>
        <s v="Pooja"/>
        <s v="Amit"/>
        <s v="Priya"/>
        <s v="Ravi"/>
      </sharedItems>
    </cacheField>
    <cacheField name="English" numFmtId="0">
      <sharedItems containsSemiMixedTypes="0" containsString="0" containsNumber="1" containsInteger="1" minValue="30" maxValue="100"/>
    </cacheField>
    <cacheField name="Math" numFmtId="0">
      <sharedItems containsSemiMixedTypes="0" containsString="0" containsNumber="1" containsInteger="1" minValue="30" maxValue="100"/>
    </cacheField>
    <cacheField name="Science" numFmtId="0">
      <sharedItems containsSemiMixedTypes="0" containsString="0" containsNumber="1" containsInteger="1" minValue="30" maxValue="100"/>
    </cacheField>
    <cacheField name="Total" numFmtId="0">
      <sharedItems containsSemiMixedTypes="0" containsString="0" containsNumber="1" containsInteger="1" minValue="102" maxValue="277"/>
    </cacheField>
    <cacheField name="Percentage" numFmtId="0">
      <sharedItems containsSemiMixedTypes="0" containsString="0" containsNumber="1" minValue="34" maxValue="92.333333333333329"/>
    </cacheField>
    <cacheField name="Grade" numFmtId="0">
      <sharedItems count="5">
        <s v="B"/>
        <s v="C"/>
        <s v="A"/>
        <s v="F"/>
        <s v="C " u="1"/>
      </sharedItems>
    </cacheField>
    <cacheField name="Pass/FAIL" numFmtId="0">
      <sharedItems count="2">
        <s v="Pass"/>
        <s v="Fail"/>
      </sharedItems>
    </cacheField>
    <cacheField name="Above Average in the class" numFmtId="0">
      <sharedItems/>
    </cacheField>
    <cacheField name="Rank" numFmtId="0">
      <sharedItems containsSemiMixedTypes="0" containsString="0" containsNumber="1" containsInteger="1" minValue="1" maxValue="500"/>
    </cacheField>
    <cacheField name="Distinction" numFmtId="0">
      <sharedItems/>
    </cacheField>
    <cacheField name="Count Pass Student" numFmtId="0">
      <sharedItems containsBlank="1" containsMixedTypes="1" containsNumber="1" containsInteger="1" minValue="495" maxValue="495"/>
    </cacheField>
    <cacheField name="Count Fail Students" numFmtId="0">
      <sharedItems containsBlank="1" containsMixedTypes="1" containsNumber="1" minValue="5" maxValue="110"/>
    </cacheField>
    <cacheField name="Rank Students based on total marks" numFmtId="0">
      <sharedItems containsBlank="1" containsMixedTypes="1" containsNumber="1" containsInteger="1" minValue="42" maxValue="144"/>
    </cacheField>
    <cacheField name="Column1" numFmtId="0">
      <sharedItems containsBlank="1" containsMixedTypes="1" containsNumber="1" containsInteger="1" minValue="30" maxValue="92"/>
    </cacheField>
  </cacheFields>
  <extLst>
    <ext xmlns:x14="http://schemas.microsoft.com/office/spreadsheetml/2009/9/main" uri="{725AE2AE-9491-48be-B2B4-4EB974FC3084}">
      <x14:pivotCacheDefinition pivotCacheId="1113353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1"/>
    <x v="0"/>
    <n v="93"/>
    <n v="30"/>
    <n v="90"/>
    <n v="213"/>
    <n v="71"/>
    <x v="0"/>
    <x v="0"/>
    <s v="Above Avg"/>
    <n v="144"/>
    <s v="No"/>
    <n v="495"/>
    <n v="5"/>
    <n v="144"/>
    <m/>
  </r>
  <r>
    <n v="102"/>
    <x v="1"/>
    <n v="72"/>
    <n v="40"/>
    <n v="61"/>
    <n v="173"/>
    <n v="57.666666666666664"/>
    <x v="1"/>
    <x v="0"/>
    <s v="Below Avg"/>
    <n v="346"/>
    <s v="No"/>
    <m/>
    <m/>
    <m/>
    <m/>
  </r>
  <r>
    <n v="103"/>
    <x v="2"/>
    <n v="98"/>
    <n v="53"/>
    <n v="45"/>
    <n v="196"/>
    <n v="65.333333333333329"/>
    <x v="0"/>
    <x v="0"/>
    <s v="Above Avg"/>
    <n v="235"/>
    <s v="No"/>
    <m/>
    <m/>
    <m/>
    <m/>
  </r>
  <r>
    <n v="104"/>
    <x v="3"/>
    <n v="97"/>
    <n v="82"/>
    <n v="82"/>
    <n v="261"/>
    <n v="87"/>
    <x v="2"/>
    <x v="0"/>
    <s v="Above Avg"/>
    <n v="14"/>
    <s v="Yes"/>
    <s v="Highest Marks in each subject"/>
    <m/>
    <m/>
    <m/>
  </r>
  <r>
    <n v="105"/>
    <x v="1"/>
    <n v="85"/>
    <n v="39"/>
    <n v="63"/>
    <n v="187"/>
    <n v="62.333333333333336"/>
    <x v="0"/>
    <x v="0"/>
    <s v="Below Avg"/>
    <n v="281"/>
    <s v="No"/>
    <s v="English"/>
    <n v="100"/>
    <m/>
    <m/>
  </r>
  <r>
    <n v="106"/>
    <x v="4"/>
    <n v="72"/>
    <n v="62"/>
    <n v="87"/>
    <n v="221"/>
    <n v="73.666666666666671"/>
    <x v="0"/>
    <x v="0"/>
    <s v="Above Avg"/>
    <n v="109"/>
    <s v="No"/>
    <s v="Math"/>
    <n v="100"/>
    <m/>
    <m/>
  </r>
  <r>
    <n v="107"/>
    <x v="0"/>
    <n v="57"/>
    <n v="92"/>
    <n v="30"/>
    <n v="179"/>
    <n v="59.666666666666664"/>
    <x v="1"/>
    <x v="0"/>
    <s v="Below Avg"/>
    <n v="322"/>
    <s v="No"/>
    <s v="Science"/>
    <n v="100"/>
    <m/>
    <m/>
  </r>
  <r>
    <n v="108"/>
    <x v="1"/>
    <n v="68"/>
    <n v="64"/>
    <n v="92"/>
    <n v="224"/>
    <n v="74.666666666666671"/>
    <x v="0"/>
    <x v="0"/>
    <s v="Above Avg"/>
    <n v="96"/>
    <s v="No"/>
    <m/>
    <m/>
    <m/>
    <m/>
  </r>
  <r>
    <n v="109"/>
    <x v="2"/>
    <n v="59"/>
    <n v="74"/>
    <n v="72"/>
    <n v="205"/>
    <n v="68.333333333333329"/>
    <x v="0"/>
    <x v="0"/>
    <s v="Above Avg"/>
    <n v="188"/>
    <s v="No"/>
    <s v="Lowest marks in each subject"/>
    <m/>
    <m/>
    <m/>
  </r>
  <r>
    <n v="110"/>
    <x v="5"/>
    <n v="42"/>
    <n v="86"/>
    <n v="95"/>
    <n v="223"/>
    <n v="74.333333333333329"/>
    <x v="0"/>
    <x v="0"/>
    <s v="Above Avg"/>
    <n v="98"/>
    <s v="No"/>
    <s v="English"/>
    <n v="30"/>
    <m/>
    <m/>
  </r>
  <r>
    <n v="111"/>
    <x v="1"/>
    <n v="68"/>
    <n v="75"/>
    <n v="95"/>
    <n v="238"/>
    <n v="79.333333333333329"/>
    <x v="0"/>
    <x v="0"/>
    <s v="Above Avg"/>
    <n v="53"/>
    <s v="Yes"/>
    <s v="Math"/>
    <n v="30"/>
    <m/>
    <m/>
  </r>
  <r>
    <n v="112"/>
    <x v="2"/>
    <n v="67"/>
    <n v="84"/>
    <n v="65"/>
    <n v="216"/>
    <n v="72"/>
    <x v="0"/>
    <x v="0"/>
    <s v="Above Avg"/>
    <n v="130"/>
    <s v="No"/>
    <s v="Science"/>
    <n v="30"/>
    <m/>
    <m/>
  </r>
  <r>
    <n v="113"/>
    <x v="3"/>
    <n v="88"/>
    <n v="87"/>
    <n v="30"/>
    <n v="205"/>
    <n v="68.333333333333329"/>
    <x v="0"/>
    <x v="0"/>
    <s v="Above Avg"/>
    <n v="188"/>
    <s v="No"/>
    <m/>
    <m/>
    <m/>
    <m/>
  </r>
  <r>
    <n v="114"/>
    <x v="6"/>
    <n v="30"/>
    <n v="45"/>
    <n v="65"/>
    <n v="140"/>
    <n v="46.666666666666664"/>
    <x v="1"/>
    <x v="0"/>
    <s v="Below Avg"/>
    <n v="468"/>
    <s v="No"/>
    <s v="Average class for a subject"/>
    <m/>
    <m/>
    <m/>
  </r>
  <r>
    <n v="115"/>
    <x v="4"/>
    <n v="100"/>
    <n v="94"/>
    <n v="50"/>
    <n v="244"/>
    <n v="81.333333333333329"/>
    <x v="2"/>
    <x v="0"/>
    <s v="Above Avg"/>
    <n v="44"/>
    <s v="Yes"/>
    <s v="English"/>
    <n v="63.887999999999998"/>
    <m/>
    <m/>
  </r>
  <r>
    <n v="116"/>
    <x v="4"/>
    <n v="70"/>
    <n v="36"/>
    <n v="72"/>
    <n v="178"/>
    <n v="59.333333333333336"/>
    <x v="1"/>
    <x v="0"/>
    <s v="Below Avg"/>
    <n v="326"/>
    <s v="No"/>
    <s v="Math"/>
    <n v="64.774000000000001"/>
    <m/>
    <m/>
  </r>
  <r>
    <n v="117"/>
    <x v="5"/>
    <n v="43"/>
    <n v="66"/>
    <n v="60"/>
    <n v="169"/>
    <n v="56.333333333333336"/>
    <x v="1"/>
    <x v="0"/>
    <s v="Below Avg"/>
    <n v="370"/>
    <s v="No"/>
    <s v="Science"/>
    <n v="64.73"/>
    <m/>
    <m/>
  </r>
  <r>
    <n v="118"/>
    <x v="1"/>
    <n v="71"/>
    <n v="89"/>
    <n v="42"/>
    <n v="202"/>
    <n v="67.333333333333329"/>
    <x v="0"/>
    <x v="0"/>
    <s v="Above Avg"/>
    <n v="204"/>
    <s v="No"/>
    <m/>
    <m/>
    <m/>
    <m/>
  </r>
  <r>
    <n v="119"/>
    <x v="6"/>
    <n v="77"/>
    <n v="34"/>
    <n v="43"/>
    <n v="154"/>
    <n v="51.333333333333336"/>
    <x v="1"/>
    <x v="0"/>
    <s v="Below Avg"/>
    <n v="430"/>
    <s v="No"/>
    <m/>
    <s v="VLOOKUP"/>
    <m/>
    <m/>
  </r>
  <r>
    <n v="120"/>
    <x v="2"/>
    <n v="55"/>
    <n v="70"/>
    <n v="37"/>
    <n v="162"/>
    <n v="54"/>
    <x v="1"/>
    <x v="0"/>
    <s v="Below Avg"/>
    <n v="398"/>
    <s v="No"/>
    <m/>
    <s v="     Fetch Different Subject"/>
    <m/>
    <m/>
  </r>
  <r>
    <n v="121"/>
    <x v="1"/>
    <n v="39"/>
    <n v="82"/>
    <n v="89"/>
    <n v="210"/>
    <n v="70"/>
    <x v="0"/>
    <x v="0"/>
    <s v="Above Avg"/>
    <n v="160"/>
    <s v="No"/>
    <m/>
    <s v="Student ID"/>
    <s v="English"/>
    <s v="Math"/>
  </r>
  <r>
    <n v="122"/>
    <x v="4"/>
    <n v="76"/>
    <n v="36"/>
    <n v="31"/>
    <n v="143"/>
    <n v="47.666666666666664"/>
    <x v="1"/>
    <x v="0"/>
    <s v="Below Avg"/>
    <n v="458"/>
    <s v="No"/>
    <m/>
    <n v="101"/>
    <n v="93"/>
    <n v="30"/>
  </r>
  <r>
    <n v="123"/>
    <x v="6"/>
    <n v="100"/>
    <n v="74"/>
    <n v="43"/>
    <n v="217"/>
    <n v="72.333333333333329"/>
    <x v="0"/>
    <x v="0"/>
    <s v="Above Avg"/>
    <n v="125"/>
    <s v="No"/>
    <m/>
    <n v="102"/>
    <n v="72"/>
    <n v="40"/>
  </r>
  <r>
    <n v="124"/>
    <x v="1"/>
    <n v="62"/>
    <n v="68"/>
    <n v="54"/>
    <n v="184"/>
    <n v="61.333333333333336"/>
    <x v="0"/>
    <x v="0"/>
    <s v="Below Avg"/>
    <n v="298"/>
    <s v="No"/>
    <m/>
    <n v="103"/>
    <n v="98"/>
    <n v="53"/>
  </r>
  <r>
    <n v="125"/>
    <x v="2"/>
    <n v="99"/>
    <n v="53"/>
    <n v="100"/>
    <n v="252"/>
    <n v="84"/>
    <x v="2"/>
    <x v="0"/>
    <s v="Above Avg"/>
    <n v="27"/>
    <s v="Yes"/>
    <m/>
    <n v="104"/>
    <n v="97"/>
    <n v="82"/>
  </r>
  <r>
    <n v="126"/>
    <x v="3"/>
    <n v="33"/>
    <n v="31"/>
    <n v="53"/>
    <n v="117"/>
    <n v="39"/>
    <x v="3"/>
    <x v="1"/>
    <s v="Below Avg"/>
    <n v="496"/>
    <s v="No"/>
    <m/>
    <n v="105"/>
    <n v="85"/>
    <n v="39"/>
  </r>
  <r>
    <n v="127"/>
    <x v="1"/>
    <n v="30"/>
    <n v="56"/>
    <n v="98"/>
    <n v="184"/>
    <n v="61.333333333333336"/>
    <x v="0"/>
    <x v="0"/>
    <s v="Below Avg"/>
    <n v="298"/>
    <s v="No"/>
    <m/>
    <n v="106"/>
    <n v="72"/>
    <n v="62"/>
  </r>
  <r>
    <n v="128"/>
    <x v="3"/>
    <n v="99"/>
    <n v="33"/>
    <n v="86"/>
    <n v="218"/>
    <n v="72.666666666666671"/>
    <x v="0"/>
    <x v="0"/>
    <s v="Above Avg"/>
    <n v="120"/>
    <s v="No"/>
    <m/>
    <n v="107"/>
    <n v="57"/>
    <n v="92"/>
  </r>
  <r>
    <n v="129"/>
    <x v="0"/>
    <n v="54"/>
    <n v="86"/>
    <n v="32"/>
    <n v="172"/>
    <n v="57.333333333333336"/>
    <x v="1"/>
    <x v="0"/>
    <s v="Below Avg"/>
    <n v="351"/>
    <s v="No"/>
    <m/>
    <n v="108"/>
    <n v="68"/>
    <n v="64"/>
  </r>
  <r>
    <n v="130"/>
    <x v="1"/>
    <n v="51"/>
    <n v="83"/>
    <n v="82"/>
    <n v="216"/>
    <n v="72"/>
    <x v="0"/>
    <x v="0"/>
    <s v="Above Avg"/>
    <n v="130"/>
    <s v="No"/>
    <m/>
    <n v="109"/>
    <n v="59"/>
    <n v="74"/>
  </r>
  <r>
    <n v="131"/>
    <x v="0"/>
    <n v="72"/>
    <n v="92"/>
    <n v="77"/>
    <n v="241"/>
    <n v="80.333333333333329"/>
    <x v="2"/>
    <x v="0"/>
    <s v="Above Avg"/>
    <n v="48"/>
    <s v="Yes"/>
    <m/>
    <n v="110"/>
    <n v="42"/>
    <n v="86"/>
  </r>
  <r>
    <n v="132"/>
    <x v="3"/>
    <n v="95"/>
    <n v="59"/>
    <n v="88"/>
    <n v="242"/>
    <n v="80.666666666666671"/>
    <x v="2"/>
    <x v="0"/>
    <s v="Above Avg"/>
    <n v="47"/>
    <s v="Yes"/>
    <m/>
    <m/>
    <m/>
    <m/>
  </r>
  <r>
    <n v="133"/>
    <x v="6"/>
    <n v="77"/>
    <n v="33"/>
    <n v="33"/>
    <n v="143"/>
    <n v="47.666666666666664"/>
    <x v="1"/>
    <x v="0"/>
    <s v="Below Avg"/>
    <n v="458"/>
    <s v="No"/>
    <m/>
    <m/>
    <m/>
    <m/>
  </r>
  <r>
    <n v="134"/>
    <x v="3"/>
    <n v="54"/>
    <n v="42"/>
    <n v="94"/>
    <n v="190"/>
    <n v="63.333333333333336"/>
    <x v="0"/>
    <x v="0"/>
    <s v="Below Avg"/>
    <n v="271"/>
    <s v="No"/>
    <m/>
    <m/>
    <m/>
    <m/>
  </r>
  <r>
    <n v="135"/>
    <x v="3"/>
    <n v="61"/>
    <n v="100"/>
    <n v="49"/>
    <n v="210"/>
    <n v="70"/>
    <x v="0"/>
    <x v="0"/>
    <s v="Above Avg"/>
    <n v="160"/>
    <s v="No"/>
    <m/>
    <m/>
    <m/>
    <m/>
  </r>
  <r>
    <n v="136"/>
    <x v="7"/>
    <n v="79"/>
    <n v="81"/>
    <n v="100"/>
    <n v="260"/>
    <n v="86.666666666666671"/>
    <x v="2"/>
    <x v="0"/>
    <s v="Above Avg"/>
    <n v="16"/>
    <s v="Yes"/>
    <m/>
    <m/>
    <m/>
    <m/>
  </r>
  <r>
    <n v="137"/>
    <x v="2"/>
    <n v="41"/>
    <n v="36"/>
    <n v="58"/>
    <n v="135"/>
    <n v="45"/>
    <x v="1"/>
    <x v="0"/>
    <s v="Below Avg"/>
    <n v="477"/>
    <s v="No"/>
    <m/>
    <m/>
    <m/>
    <m/>
  </r>
  <r>
    <n v="138"/>
    <x v="6"/>
    <n v="85"/>
    <n v="41"/>
    <n v="92"/>
    <n v="218"/>
    <n v="72.666666666666671"/>
    <x v="0"/>
    <x v="0"/>
    <s v="Above Avg"/>
    <n v="120"/>
    <s v="No"/>
    <m/>
    <m/>
    <m/>
    <m/>
  </r>
  <r>
    <n v="139"/>
    <x v="7"/>
    <n v="40"/>
    <n v="77"/>
    <n v="40"/>
    <n v="157"/>
    <n v="52.333333333333336"/>
    <x v="1"/>
    <x v="0"/>
    <s v="Below Avg"/>
    <n v="417"/>
    <s v="No"/>
    <m/>
    <m/>
    <m/>
    <m/>
  </r>
  <r>
    <n v="140"/>
    <x v="2"/>
    <n v="32"/>
    <n v="67"/>
    <n v="93"/>
    <n v="192"/>
    <n v="64"/>
    <x v="0"/>
    <x v="0"/>
    <s v="Below Avg"/>
    <n v="259"/>
    <s v="No"/>
    <m/>
    <m/>
    <m/>
    <m/>
  </r>
  <r>
    <n v="141"/>
    <x v="4"/>
    <n v="52"/>
    <n v="77"/>
    <n v="55"/>
    <n v="184"/>
    <n v="61.333333333333336"/>
    <x v="0"/>
    <x v="0"/>
    <s v="Below Avg"/>
    <n v="298"/>
    <s v="No"/>
    <m/>
    <m/>
    <m/>
    <m/>
  </r>
  <r>
    <n v="142"/>
    <x v="4"/>
    <n v="44"/>
    <n v="36"/>
    <n v="96"/>
    <n v="176"/>
    <n v="58.666666666666664"/>
    <x v="1"/>
    <x v="0"/>
    <s v="Below Avg"/>
    <n v="334"/>
    <s v="No"/>
    <m/>
    <m/>
    <m/>
    <m/>
  </r>
  <r>
    <n v="143"/>
    <x v="3"/>
    <n v="41"/>
    <n v="57"/>
    <n v="95"/>
    <n v="193"/>
    <n v="64.333333333333329"/>
    <x v="0"/>
    <x v="0"/>
    <s v="Below Avg"/>
    <n v="254"/>
    <s v="No"/>
    <m/>
    <m/>
    <m/>
    <m/>
  </r>
  <r>
    <n v="144"/>
    <x v="1"/>
    <n v="71"/>
    <n v="96"/>
    <n v="38"/>
    <n v="205"/>
    <n v="68.333333333333329"/>
    <x v="0"/>
    <x v="0"/>
    <s v="Above Avg"/>
    <n v="188"/>
    <s v="No"/>
    <m/>
    <m/>
    <m/>
    <m/>
  </r>
  <r>
    <n v="145"/>
    <x v="0"/>
    <n v="99"/>
    <n v="97"/>
    <n v="67"/>
    <n v="263"/>
    <n v="87.666666666666671"/>
    <x v="2"/>
    <x v="0"/>
    <s v="Above Avg"/>
    <n v="12"/>
    <s v="Yes"/>
    <m/>
    <m/>
    <m/>
    <m/>
  </r>
  <r>
    <n v="146"/>
    <x v="5"/>
    <n v="36"/>
    <n v="82"/>
    <n v="77"/>
    <n v="195"/>
    <n v="65"/>
    <x v="0"/>
    <x v="0"/>
    <s v="Above Avg"/>
    <n v="243"/>
    <s v="No"/>
    <m/>
    <m/>
    <m/>
    <m/>
  </r>
  <r>
    <n v="147"/>
    <x v="0"/>
    <n v="49"/>
    <n v="77"/>
    <n v="93"/>
    <n v="219"/>
    <n v="73"/>
    <x v="0"/>
    <x v="0"/>
    <s v="Above Avg"/>
    <n v="115"/>
    <s v="No"/>
    <m/>
    <m/>
    <m/>
    <m/>
  </r>
  <r>
    <n v="148"/>
    <x v="3"/>
    <n v="96"/>
    <n v="96"/>
    <n v="54"/>
    <n v="246"/>
    <n v="82"/>
    <x v="2"/>
    <x v="0"/>
    <s v="Above Avg"/>
    <n v="40"/>
    <s v="Yes"/>
    <m/>
    <m/>
    <m/>
    <m/>
  </r>
  <r>
    <n v="149"/>
    <x v="6"/>
    <n v="98"/>
    <n v="51"/>
    <n v="51"/>
    <n v="200"/>
    <n v="66.666666666666671"/>
    <x v="0"/>
    <x v="0"/>
    <s v="Above Avg"/>
    <n v="210"/>
    <s v="No"/>
    <m/>
    <m/>
    <m/>
    <m/>
  </r>
  <r>
    <n v="150"/>
    <x v="4"/>
    <n v="64"/>
    <n v="62"/>
    <n v="41"/>
    <n v="167"/>
    <n v="55.666666666666664"/>
    <x v="1"/>
    <x v="0"/>
    <s v="Below Avg"/>
    <n v="378"/>
    <s v="No"/>
    <m/>
    <m/>
    <m/>
    <m/>
  </r>
  <r>
    <n v="151"/>
    <x v="7"/>
    <n v="98"/>
    <n v="91"/>
    <n v="65"/>
    <n v="254"/>
    <n v="84.666666666666671"/>
    <x v="2"/>
    <x v="0"/>
    <s v="Above Avg"/>
    <n v="25"/>
    <s v="Yes"/>
    <m/>
    <m/>
    <m/>
    <m/>
  </r>
  <r>
    <n v="152"/>
    <x v="5"/>
    <n v="32"/>
    <n v="96"/>
    <n v="35"/>
    <n v="163"/>
    <n v="54.333333333333336"/>
    <x v="1"/>
    <x v="0"/>
    <s v="Below Avg"/>
    <n v="397"/>
    <s v="No"/>
    <m/>
    <m/>
    <m/>
    <m/>
  </r>
  <r>
    <n v="153"/>
    <x v="1"/>
    <n v="78"/>
    <n v="74"/>
    <n v="66"/>
    <n v="218"/>
    <n v="72.666666666666671"/>
    <x v="0"/>
    <x v="0"/>
    <s v="Above Avg"/>
    <n v="120"/>
    <s v="No"/>
    <m/>
    <m/>
    <m/>
    <m/>
  </r>
  <r>
    <n v="154"/>
    <x v="6"/>
    <n v="32"/>
    <n v="84"/>
    <n v="46"/>
    <n v="162"/>
    <n v="54"/>
    <x v="1"/>
    <x v="0"/>
    <s v="Below Avg"/>
    <n v="398"/>
    <s v="No"/>
    <m/>
    <m/>
    <m/>
    <m/>
  </r>
  <r>
    <n v="155"/>
    <x v="3"/>
    <n v="39"/>
    <n v="59"/>
    <n v="99"/>
    <n v="197"/>
    <n v="65.666666666666671"/>
    <x v="0"/>
    <x v="0"/>
    <s v="Above Avg"/>
    <n v="224"/>
    <s v="No"/>
    <m/>
    <m/>
    <m/>
    <m/>
  </r>
  <r>
    <n v="156"/>
    <x v="7"/>
    <n v="65"/>
    <n v="50"/>
    <n v="85"/>
    <n v="200"/>
    <n v="66.666666666666671"/>
    <x v="0"/>
    <x v="0"/>
    <s v="Above Avg"/>
    <n v="210"/>
    <s v="No"/>
    <m/>
    <m/>
    <m/>
    <m/>
  </r>
  <r>
    <n v="157"/>
    <x v="5"/>
    <n v="85"/>
    <n v="70"/>
    <n v="52"/>
    <n v="207"/>
    <n v="69"/>
    <x v="0"/>
    <x v="0"/>
    <s v="Above Avg"/>
    <n v="175"/>
    <s v="No"/>
    <m/>
    <m/>
    <m/>
    <m/>
  </r>
  <r>
    <n v="158"/>
    <x v="7"/>
    <n v="59"/>
    <n v="58"/>
    <n v="47"/>
    <n v="164"/>
    <n v="54.666666666666664"/>
    <x v="1"/>
    <x v="0"/>
    <s v="Below Avg"/>
    <n v="392"/>
    <s v="No"/>
    <m/>
    <m/>
    <m/>
    <m/>
  </r>
  <r>
    <n v="159"/>
    <x v="4"/>
    <n v="32"/>
    <n v="58"/>
    <n v="93"/>
    <n v="183"/>
    <n v="61"/>
    <x v="0"/>
    <x v="0"/>
    <s v="Below Avg"/>
    <n v="307"/>
    <s v="No"/>
    <m/>
    <m/>
    <m/>
    <m/>
  </r>
  <r>
    <n v="160"/>
    <x v="4"/>
    <n v="81"/>
    <n v="50"/>
    <n v="35"/>
    <n v="166"/>
    <n v="55.333333333333336"/>
    <x v="1"/>
    <x v="0"/>
    <s v="Below Avg"/>
    <n v="384"/>
    <s v="No"/>
    <m/>
    <m/>
    <m/>
    <m/>
  </r>
  <r>
    <n v="161"/>
    <x v="5"/>
    <n v="43"/>
    <n v="80"/>
    <n v="47"/>
    <n v="170"/>
    <n v="56.666666666666664"/>
    <x v="1"/>
    <x v="0"/>
    <s v="Below Avg"/>
    <n v="364"/>
    <s v="No"/>
    <m/>
    <m/>
    <m/>
    <m/>
  </r>
  <r>
    <n v="162"/>
    <x v="1"/>
    <n v="72"/>
    <n v="42"/>
    <n v="84"/>
    <n v="198"/>
    <n v="66"/>
    <x v="0"/>
    <x v="0"/>
    <s v="Above Avg"/>
    <n v="217"/>
    <s v="No"/>
    <m/>
    <m/>
    <m/>
    <m/>
  </r>
  <r>
    <n v="163"/>
    <x v="6"/>
    <n v="96"/>
    <n v="32"/>
    <n v="67"/>
    <n v="195"/>
    <n v="65"/>
    <x v="0"/>
    <x v="0"/>
    <s v="Above Avg"/>
    <n v="243"/>
    <s v="No"/>
    <m/>
    <m/>
    <m/>
    <m/>
  </r>
  <r>
    <n v="164"/>
    <x v="1"/>
    <n v="96"/>
    <n v="85"/>
    <n v="93"/>
    <n v="274"/>
    <n v="91.333333333333329"/>
    <x v="2"/>
    <x v="0"/>
    <s v="Above Avg"/>
    <n v="3"/>
    <s v="Yes"/>
    <m/>
    <m/>
    <m/>
    <m/>
  </r>
  <r>
    <n v="165"/>
    <x v="7"/>
    <n v="37"/>
    <n v="87"/>
    <n v="85"/>
    <n v="209"/>
    <n v="69.666666666666671"/>
    <x v="0"/>
    <x v="0"/>
    <s v="Above Avg"/>
    <n v="164"/>
    <s v="No"/>
    <m/>
    <m/>
    <m/>
    <m/>
  </r>
  <r>
    <n v="166"/>
    <x v="6"/>
    <n v="41"/>
    <n v="65"/>
    <n v="32"/>
    <n v="138"/>
    <n v="46"/>
    <x v="1"/>
    <x v="0"/>
    <s v="Below Avg"/>
    <n v="472"/>
    <s v="No"/>
    <m/>
    <m/>
    <m/>
    <m/>
  </r>
  <r>
    <n v="167"/>
    <x v="6"/>
    <n v="67"/>
    <n v="71"/>
    <n v="61"/>
    <n v="199"/>
    <n v="66.333333333333329"/>
    <x v="0"/>
    <x v="0"/>
    <s v="Above Avg"/>
    <n v="215"/>
    <s v="No"/>
    <m/>
    <m/>
    <m/>
    <m/>
  </r>
  <r>
    <n v="168"/>
    <x v="5"/>
    <n v="72"/>
    <n v="57"/>
    <n v="81"/>
    <n v="210"/>
    <n v="70"/>
    <x v="0"/>
    <x v="0"/>
    <s v="Above Avg"/>
    <n v="160"/>
    <s v="No"/>
    <m/>
    <m/>
    <m/>
    <m/>
  </r>
  <r>
    <n v="169"/>
    <x v="1"/>
    <n v="98"/>
    <n v="56"/>
    <n v="89"/>
    <n v="243"/>
    <n v="81"/>
    <x v="2"/>
    <x v="0"/>
    <s v="Above Avg"/>
    <n v="46"/>
    <s v="Yes"/>
    <m/>
    <m/>
    <m/>
    <m/>
  </r>
  <r>
    <n v="170"/>
    <x v="1"/>
    <n v="50"/>
    <n v="61"/>
    <n v="85"/>
    <n v="196"/>
    <n v="65.333333333333329"/>
    <x v="0"/>
    <x v="0"/>
    <s v="Above Avg"/>
    <n v="235"/>
    <s v="No"/>
    <m/>
    <m/>
    <m/>
    <m/>
  </r>
  <r>
    <n v="171"/>
    <x v="6"/>
    <n v="50"/>
    <n v="83"/>
    <n v="36"/>
    <n v="169"/>
    <n v="56.333333333333336"/>
    <x v="1"/>
    <x v="0"/>
    <s v="Below Avg"/>
    <n v="370"/>
    <s v="No"/>
    <m/>
    <m/>
    <m/>
    <m/>
  </r>
  <r>
    <n v="172"/>
    <x v="7"/>
    <n v="48"/>
    <n v="41"/>
    <n v="59"/>
    <n v="148"/>
    <n v="49.333333333333336"/>
    <x v="1"/>
    <x v="0"/>
    <s v="Below Avg"/>
    <n v="449"/>
    <s v="No"/>
    <m/>
    <m/>
    <m/>
    <m/>
  </r>
  <r>
    <n v="173"/>
    <x v="5"/>
    <n v="40"/>
    <n v="52"/>
    <n v="82"/>
    <n v="174"/>
    <n v="58"/>
    <x v="1"/>
    <x v="0"/>
    <s v="Below Avg"/>
    <n v="340"/>
    <s v="No"/>
    <m/>
    <m/>
    <m/>
    <m/>
  </r>
  <r>
    <n v="174"/>
    <x v="0"/>
    <n v="77"/>
    <n v="49"/>
    <n v="62"/>
    <n v="188"/>
    <n v="62.666666666666664"/>
    <x v="0"/>
    <x v="0"/>
    <s v="Below Avg"/>
    <n v="277"/>
    <s v="No"/>
    <m/>
    <m/>
    <m/>
    <m/>
  </r>
  <r>
    <n v="175"/>
    <x v="1"/>
    <n v="80"/>
    <n v="92"/>
    <n v="78"/>
    <n v="250"/>
    <n v="83.333333333333329"/>
    <x v="2"/>
    <x v="0"/>
    <s v="Above Avg"/>
    <n v="33"/>
    <s v="Yes"/>
    <m/>
    <m/>
    <m/>
    <m/>
  </r>
  <r>
    <n v="176"/>
    <x v="6"/>
    <n v="97"/>
    <n v="39"/>
    <n v="61"/>
    <n v="197"/>
    <n v="65.666666666666671"/>
    <x v="0"/>
    <x v="0"/>
    <s v="Above Avg"/>
    <n v="224"/>
    <s v="No"/>
    <m/>
    <m/>
    <m/>
    <m/>
  </r>
  <r>
    <n v="177"/>
    <x v="6"/>
    <n v="52"/>
    <n v="42"/>
    <n v="86"/>
    <n v="180"/>
    <n v="60"/>
    <x v="0"/>
    <x v="0"/>
    <s v="Below Avg"/>
    <n v="318"/>
    <s v="No"/>
    <m/>
    <m/>
    <m/>
    <m/>
  </r>
  <r>
    <n v="178"/>
    <x v="6"/>
    <n v="67"/>
    <n v="50"/>
    <n v="51"/>
    <n v="168"/>
    <n v="56"/>
    <x v="1"/>
    <x v="0"/>
    <s v="Below Avg"/>
    <n v="377"/>
    <s v="No"/>
    <m/>
    <m/>
    <m/>
    <m/>
  </r>
  <r>
    <n v="179"/>
    <x v="2"/>
    <n v="85"/>
    <n v="99"/>
    <n v="93"/>
    <n v="277"/>
    <n v="92.333333333333329"/>
    <x v="2"/>
    <x v="0"/>
    <s v="Above Avg"/>
    <n v="1"/>
    <s v="Yes"/>
    <m/>
    <m/>
    <m/>
    <m/>
  </r>
  <r>
    <n v="180"/>
    <x v="3"/>
    <n v="88"/>
    <n v="71"/>
    <n v="33"/>
    <n v="192"/>
    <n v="64"/>
    <x v="0"/>
    <x v="0"/>
    <s v="Below Avg"/>
    <n v="259"/>
    <s v="No"/>
    <m/>
    <m/>
    <m/>
    <m/>
  </r>
  <r>
    <n v="181"/>
    <x v="1"/>
    <n v="31"/>
    <n v="76"/>
    <n v="78"/>
    <n v="185"/>
    <n v="61.666666666666664"/>
    <x v="0"/>
    <x v="0"/>
    <s v="Below Avg"/>
    <n v="292"/>
    <s v="No"/>
    <m/>
    <m/>
    <m/>
    <m/>
  </r>
  <r>
    <n v="182"/>
    <x v="6"/>
    <n v="58"/>
    <n v="57"/>
    <n v="59"/>
    <n v="174"/>
    <n v="58"/>
    <x v="1"/>
    <x v="0"/>
    <s v="Below Avg"/>
    <n v="340"/>
    <s v="No"/>
    <m/>
    <m/>
    <m/>
    <m/>
  </r>
  <r>
    <n v="183"/>
    <x v="4"/>
    <n v="79"/>
    <n v="66"/>
    <n v="35"/>
    <n v="180"/>
    <n v="60"/>
    <x v="0"/>
    <x v="0"/>
    <s v="Below Avg"/>
    <n v="318"/>
    <s v="No"/>
    <m/>
    <m/>
    <m/>
    <m/>
  </r>
  <r>
    <n v="184"/>
    <x v="4"/>
    <n v="78"/>
    <n v="73"/>
    <n v="36"/>
    <n v="187"/>
    <n v="62.333333333333336"/>
    <x v="0"/>
    <x v="0"/>
    <s v="Below Avg"/>
    <n v="281"/>
    <s v="No"/>
    <m/>
    <m/>
    <m/>
    <m/>
  </r>
  <r>
    <n v="185"/>
    <x v="0"/>
    <n v="31"/>
    <n v="36"/>
    <n v="68"/>
    <n v="135"/>
    <n v="45"/>
    <x v="1"/>
    <x v="0"/>
    <s v="Below Avg"/>
    <n v="477"/>
    <s v="No"/>
    <m/>
    <m/>
    <m/>
    <m/>
  </r>
  <r>
    <n v="186"/>
    <x v="7"/>
    <n v="51"/>
    <n v="32"/>
    <n v="42"/>
    <n v="125"/>
    <n v="41.666666666666664"/>
    <x v="1"/>
    <x v="0"/>
    <s v="Below Avg"/>
    <n v="491"/>
    <s v="No"/>
    <m/>
    <m/>
    <m/>
    <m/>
  </r>
  <r>
    <n v="187"/>
    <x v="6"/>
    <n v="78"/>
    <n v="99"/>
    <n v="41"/>
    <n v="218"/>
    <n v="72.666666666666671"/>
    <x v="0"/>
    <x v="0"/>
    <s v="Above Avg"/>
    <n v="120"/>
    <s v="No"/>
    <m/>
    <m/>
    <m/>
    <m/>
  </r>
  <r>
    <n v="188"/>
    <x v="7"/>
    <n v="39"/>
    <n v="55"/>
    <n v="31"/>
    <n v="125"/>
    <n v="41.666666666666664"/>
    <x v="1"/>
    <x v="0"/>
    <s v="Below Avg"/>
    <n v="491"/>
    <s v="No"/>
    <m/>
    <m/>
    <m/>
    <m/>
  </r>
  <r>
    <n v="189"/>
    <x v="0"/>
    <n v="32"/>
    <n v="85"/>
    <n v="64"/>
    <n v="181"/>
    <n v="60.333333333333336"/>
    <x v="0"/>
    <x v="0"/>
    <s v="Below Avg"/>
    <n v="314"/>
    <s v="No"/>
    <m/>
    <m/>
    <m/>
    <m/>
  </r>
  <r>
    <n v="190"/>
    <x v="6"/>
    <n v="80"/>
    <n v="42"/>
    <n v="65"/>
    <n v="187"/>
    <n v="62.333333333333336"/>
    <x v="0"/>
    <x v="0"/>
    <s v="Below Avg"/>
    <n v="281"/>
    <s v="No"/>
    <m/>
    <m/>
    <m/>
    <m/>
  </r>
  <r>
    <n v="191"/>
    <x v="7"/>
    <n v="42"/>
    <n v="63"/>
    <n v="47"/>
    <n v="152"/>
    <n v="50.666666666666664"/>
    <x v="1"/>
    <x v="0"/>
    <s v="Below Avg"/>
    <n v="440"/>
    <s v="No"/>
    <m/>
    <m/>
    <m/>
    <m/>
  </r>
  <r>
    <n v="192"/>
    <x v="6"/>
    <n v="92"/>
    <n v="64"/>
    <n v="58"/>
    <n v="214"/>
    <n v="71.333333333333329"/>
    <x v="0"/>
    <x v="0"/>
    <s v="Above Avg"/>
    <n v="140"/>
    <s v="No"/>
    <m/>
    <m/>
    <m/>
    <m/>
  </r>
  <r>
    <n v="193"/>
    <x v="4"/>
    <n v="49"/>
    <n v="58"/>
    <n v="93"/>
    <n v="200"/>
    <n v="66.666666666666671"/>
    <x v="0"/>
    <x v="0"/>
    <s v="Above Avg"/>
    <n v="210"/>
    <s v="No"/>
    <m/>
    <m/>
    <m/>
    <m/>
  </r>
  <r>
    <n v="194"/>
    <x v="6"/>
    <n v="50"/>
    <n v="56"/>
    <n v="33"/>
    <n v="139"/>
    <n v="46.333333333333336"/>
    <x v="1"/>
    <x v="0"/>
    <s v="Below Avg"/>
    <n v="469"/>
    <s v="No"/>
    <m/>
    <m/>
    <m/>
    <m/>
  </r>
  <r>
    <n v="195"/>
    <x v="3"/>
    <n v="41"/>
    <n v="78"/>
    <n v="66"/>
    <n v="185"/>
    <n v="61.666666666666664"/>
    <x v="0"/>
    <x v="0"/>
    <s v="Below Avg"/>
    <n v="292"/>
    <s v="No"/>
    <m/>
    <m/>
    <m/>
    <m/>
  </r>
  <r>
    <n v="196"/>
    <x v="1"/>
    <n v="58"/>
    <n v="60"/>
    <n v="41"/>
    <n v="159"/>
    <n v="53"/>
    <x v="1"/>
    <x v="0"/>
    <s v="Below Avg"/>
    <n v="407"/>
    <s v="No"/>
    <m/>
    <m/>
    <m/>
    <m/>
  </r>
  <r>
    <n v="197"/>
    <x v="7"/>
    <n v="52"/>
    <n v="94"/>
    <n v="31"/>
    <n v="177"/>
    <n v="59"/>
    <x v="1"/>
    <x v="0"/>
    <s v="Below Avg"/>
    <n v="329"/>
    <s v="No"/>
    <m/>
    <m/>
    <m/>
    <m/>
  </r>
  <r>
    <n v="198"/>
    <x v="0"/>
    <n v="71"/>
    <n v="91"/>
    <n v="49"/>
    <n v="211"/>
    <n v="70.333333333333329"/>
    <x v="0"/>
    <x v="0"/>
    <s v="Above Avg"/>
    <n v="153"/>
    <s v="No"/>
    <m/>
    <m/>
    <m/>
    <m/>
  </r>
  <r>
    <n v="199"/>
    <x v="3"/>
    <n v="44"/>
    <n v="97"/>
    <n v="68"/>
    <n v="209"/>
    <n v="69.666666666666671"/>
    <x v="0"/>
    <x v="0"/>
    <s v="Above Avg"/>
    <n v="164"/>
    <s v="No"/>
    <m/>
    <m/>
    <m/>
    <m/>
  </r>
  <r>
    <n v="200"/>
    <x v="2"/>
    <n v="40"/>
    <n v="95"/>
    <n v="44"/>
    <n v="179"/>
    <n v="59.666666666666664"/>
    <x v="1"/>
    <x v="0"/>
    <s v="Below Avg"/>
    <n v="322"/>
    <s v="No"/>
    <m/>
    <m/>
    <m/>
    <m/>
  </r>
  <r>
    <n v="201"/>
    <x v="5"/>
    <n v="88"/>
    <n v="95"/>
    <n v="93"/>
    <n v="276"/>
    <n v="92"/>
    <x v="2"/>
    <x v="0"/>
    <s v="Above Avg"/>
    <n v="2"/>
    <s v="Yes"/>
    <m/>
    <m/>
    <m/>
    <m/>
  </r>
  <r>
    <n v="202"/>
    <x v="3"/>
    <n v="52"/>
    <n v="76"/>
    <n v="83"/>
    <n v="211"/>
    <n v="70.333333333333329"/>
    <x v="0"/>
    <x v="0"/>
    <s v="Above Avg"/>
    <n v="153"/>
    <s v="No"/>
    <m/>
    <m/>
    <m/>
    <m/>
  </r>
  <r>
    <n v="203"/>
    <x v="6"/>
    <n v="63"/>
    <n v="40"/>
    <n v="76"/>
    <n v="179"/>
    <n v="59.666666666666664"/>
    <x v="1"/>
    <x v="0"/>
    <s v="Below Avg"/>
    <n v="322"/>
    <s v="No"/>
    <m/>
    <m/>
    <m/>
    <m/>
  </r>
  <r>
    <n v="204"/>
    <x v="6"/>
    <n v="32"/>
    <n v="48"/>
    <n v="59"/>
    <n v="139"/>
    <n v="46.333333333333336"/>
    <x v="1"/>
    <x v="0"/>
    <s v="Below Avg"/>
    <n v="469"/>
    <s v="No"/>
    <m/>
    <m/>
    <m/>
    <m/>
  </r>
  <r>
    <n v="205"/>
    <x v="4"/>
    <n v="86"/>
    <n v="100"/>
    <n v="43"/>
    <n v="229"/>
    <n v="76.333333333333329"/>
    <x v="0"/>
    <x v="0"/>
    <s v="Above Avg"/>
    <n v="82"/>
    <s v="Yes"/>
    <m/>
    <m/>
    <m/>
    <m/>
  </r>
  <r>
    <n v="206"/>
    <x v="2"/>
    <n v="73"/>
    <n v="51"/>
    <n v="91"/>
    <n v="215"/>
    <n v="71.666666666666671"/>
    <x v="0"/>
    <x v="0"/>
    <s v="Above Avg"/>
    <n v="135"/>
    <s v="No"/>
    <m/>
    <m/>
    <m/>
    <m/>
  </r>
  <r>
    <n v="207"/>
    <x v="0"/>
    <n v="87"/>
    <n v="67"/>
    <n v="72"/>
    <n v="226"/>
    <n v="75.333333333333329"/>
    <x v="0"/>
    <x v="0"/>
    <s v="Above Avg"/>
    <n v="89"/>
    <s v="Yes"/>
    <m/>
    <m/>
    <m/>
    <m/>
  </r>
  <r>
    <n v="208"/>
    <x v="5"/>
    <n v="80"/>
    <n v="91"/>
    <n v="90"/>
    <n v="261"/>
    <n v="87"/>
    <x v="2"/>
    <x v="0"/>
    <s v="Above Avg"/>
    <n v="14"/>
    <s v="Yes"/>
    <m/>
    <m/>
    <m/>
    <m/>
  </r>
  <r>
    <n v="209"/>
    <x v="6"/>
    <n v="42"/>
    <n v="62"/>
    <n v="37"/>
    <n v="141"/>
    <n v="47"/>
    <x v="1"/>
    <x v="0"/>
    <s v="Below Avg"/>
    <n v="465"/>
    <s v="No"/>
    <m/>
    <m/>
    <m/>
    <m/>
  </r>
  <r>
    <n v="210"/>
    <x v="7"/>
    <n v="61"/>
    <n v="52"/>
    <n v="74"/>
    <n v="187"/>
    <n v="62.333333333333336"/>
    <x v="0"/>
    <x v="0"/>
    <s v="Below Avg"/>
    <n v="281"/>
    <s v="No"/>
    <m/>
    <m/>
    <m/>
    <m/>
  </r>
  <r>
    <n v="211"/>
    <x v="0"/>
    <n v="65"/>
    <n v="58"/>
    <n v="49"/>
    <n v="172"/>
    <n v="57.333333333333336"/>
    <x v="1"/>
    <x v="0"/>
    <s v="Below Avg"/>
    <n v="351"/>
    <s v="No"/>
    <m/>
    <m/>
    <m/>
    <m/>
  </r>
  <r>
    <n v="212"/>
    <x v="1"/>
    <n v="76"/>
    <n v="95"/>
    <n v="84"/>
    <n v="255"/>
    <n v="85"/>
    <x v="2"/>
    <x v="0"/>
    <s v="Above Avg"/>
    <n v="24"/>
    <s v="Yes"/>
    <m/>
    <m/>
    <m/>
    <m/>
  </r>
  <r>
    <n v="213"/>
    <x v="0"/>
    <n v="73"/>
    <n v="56"/>
    <n v="63"/>
    <n v="192"/>
    <n v="64"/>
    <x v="0"/>
    <x v="0"/>
    <s v="Below Avg"/>
    <n v="259"/>
    <s v="No"/>
    <m/>
    <m/>
    <m/>
    <m/>
  </r>
  <r>
    <n v="214"/>
    <x v="0"/>
    <n v="33"/>
    <n v="94"/>
    <n v="57"/>
    <n v="184"/>
    <n v="61.333333333333336"/>
    <x v="0"/>
    <x v="0"/>
    <s v="Below Avg"/>
    <n v="298"/>
    <s v="No"/>
    <m/>
    <m/>
    <m/>
    <m/>
  </r>
  <r>
    <n v="215"/>
    <x v="0"/>
    <n v="32"/>
    <n v="62"/>
    <n v="90"/>
    <n v="184"/>
    <n v="61.333333333333336"/>
    <x v="0"/>
    <x v="0"/>
    <s v="Below Avg"/>
    <n v="298"/>
    <s v="No"/>
    <m/>
    <m/>
    <m/>
    <m/>
  </r>
  <r>
    <n v="216"/>
    <x v="5"/>
    <n v="89"/>
    <n v="74"/>
    <n v="65"/>
    <n v="228"/>
    <n v="76"/>
    <x v="0"/>
    <x v="0"/>
    <s v="Above Avg"/>
    <n v="84"/>
    <s v="Yes"/>
    <m/>
    <m/>
    <m/>
    <m/>
  </r>
  <r>
    <n v="217"/>
    <x v="0"/>
    <n v="77"/>
    <n v="84"/>
    <n v="71"/>
    <n v="232"/>
    <n v="77.333333333333329"/>
    <x v="0"/>
    <x v="0"/>
    <s v="Above Avg"/>
    <n v="70"/>
    <s v="Yes"/>
    <m/>
    <m/>
    <m/>
    <m/>
  </r>
  <r>
    <n v="218"/>
    <x v="1"/>
    <n v="73"/>
    <n v="51"/>
    <n v="60"/>
    <n v="184"/>
    <n v="61.333333333333336"/>
    <x v="0"/>
    <x v="0"/>
    <s v="Below Avg"/>
    <n v="298"/>
    <s v="No"/>
    <m/>
    <m/>
    <m/>
    <m/>
  </r>
  <r>
    <n v="219"/>
    <x v="1"/>
    <n v="38"/>
    <n v="92"/>
    <n v="67"/>
    <n v="197"/>
    <n v="65.666666666666671"/>
    <x v="0"/>
    <x v="0"/>
    <s v="Above Avg"/>
    <n v="224"/>
    <s v="No"/>
    <m/>
    <m/>
    <m/>
    <m/>
  </r>
  <r>
    <n v="220"/>
    <x v="4"/>
    <n v="74"/>
    <n v="72"/>
    <n v="86"/>
    <n v="232"/>
    <n v="77.333333333333329"/>
    <x v="0"/>
    <x v="0"/>
    <s v="Above Avg"/>
    <n v="70"/>
    <s v="Yes"/>
    <m/>
    <m/>
    <m/>
    <m/>
  </r>
  <r>
    <n v="221"/>
    <x v="5"/>
    <n v="59"/>
    <n v="33"/>
    <n v="41"/>
    <n v="133"/>
    <n v="44.333333333333336"/>
    <x v="1"/>
    <x v="0"/>
    <s v="Below Avg"/>
    <n v="480"/>
    <s v="No"/>
    <m/>
    <m/>
    <m/>
    <m/>
  </r>
  <r>
    <n v="222"/>
    <x v="2"/>
    <n v="69"/>
    <n v="32"/>
    <n v="36"/>
    <n v="137"/>
    <n v="45.666666666666664"/>
    <x v="1"/>
    <x v="0"/>
    <s v="Below Avg"/>
    <n v="474"/>
    <s v="No"/>
    <m/>
    <m/>
    <m/>
    <m/>
  </r>
  <r>
    <n v="223"/>
    <x v="4"/>
    <n v="32"/>
    <n v="41"/>
    <n v="97"/>
    <n v="170"/>
    <n v="56.666666666666664"/>
    <x v="1"/>
    <x v="0"/>
    <s v="Below Avg"/>
    <n v="364"/>
    <s v="No"/>
    <m/>
    <m/>
    <m/>
    <m/>
  </r>
  <r>
    <n v="224"/>
    <x v="0"/>
    <n v="53"/>
    <n v="51"/>
    <n v="67"/>
    <n v="171"/>
    <n v="57"/>
    <x v="1"/>
    <x v="0"/>
    <s v="Below Avg"/>
    <n v="360"/>
    <s v="No"/>
    <m/>
    <m/>
    <m/>
    <m/>
  </r>
  <r>
    <n v="225"/>
    <x v="5"/>
    <n v="99"/>
    <n v="59"/>
    <n v="98"/>
    <n v="256"/>
    <n v="85.333333333333329"/>
    <x v="2"/>
    <x v="0"/>
    <s v="Above Avg"/>
    <n v="21"/>
    <s v="Yes"/>
    <m/>
    <m/>
    <m/>
    <m/>
  </r>
  <r>
    <n v="226"/>
    <x v="4"/>
    <n v="84"/>
    <n v="46"/>
    <n v="63"/>
    <n v="193"/>
    <n v="64.333333333333329"/>
    <x v="0"/>
    <x v="0"/>
    <s v="Below Avg"/>
    <n v="254"/>
    <s v="No"/>
    <m/>
    <m/>
    <m/>
    <m/>
  </r>
  <r>
    <n v="227"/>
    <x v="1"/>
    <n v="42"/>
    <n v="63"/>
    <n v="32"/>
    <n v="137"/>
    <n v="45.666666666666664"/>
    <x v="1"/>
    <x v="0"/>
    <s v="Below Avg"/>
    <n v="474"/>
    <s v="No"/>
    <m/>
    <m/>
    <m/>
    <m/>
  </r>
  <r>
    <n v="228"/>
    <x v="1"/>
    <n v="62"/>
    <n v="92"/>
    <n v="52"/>
    <n v="206"/>
    <n v="68.666666666666671"/>
    <x v="0"/>
    <x v="0"/>
    <s v="Above Avg"/>
    <n v="180"/>
    <s v="No"/>
    <m/>
    <m/>
    <m/>
    <m/>
  </r>
  <r>
    <n v="229"/>
    <x v="7"/>
    <n v="40"/>
    <n v="38"/>
    <n v="43"/>
    <n v="121"/>
    <n v="40.333333333333336"/>
    <x v="1"/>
    <x v="0"/>
    <s v="Below Avg"/>
    <n v="494"/>
    <s v="No"/>
    <m/>
    <m/>
    <m/>
    <m/>
  </r>
  <r>
    <n v="230"/>
    <x v="2"/>
    <n v="100"/>
    <n v="46"/>
    <n v="44"/>
    <n v="190"/>
    <n v="63.333333333333336"/>
    <x v="0"/>
    <x v="0"/>
    <s v="Below Avg"/>
    <n v="271"/>
    <s v="No"/>
    <m/>
    <m/>
    <m/>
    <m/>
  </r>
  <r>
    <n v="231"/>
    <x v="5"/>
    <n v="56"/>
    <n v="78"/>
    <n v="50"/>
    <n v="184"/>
    <n v="61.333333333333336"/>
    <x v="0"/>
    <x v="0"/>
    <s v="Below Avg"/>
    <n v="298"/>
    <s v="No"/>
    <m/>
    <m/>
    <m/>
    <m/>
  </r>
  <r>
    <n v="232"/>
    <x v="7"/>
    <n v="77"/>
    <n v="96"/>
    <n v="90"/>
    <n v="263"/>
    <n v="87.666666666666671"/>
    <x v="2"/>
    <x v="0"/>
    <s v="Above Avg"/>
    <n v="12"/>
    <s v="Yes"/>
    <m/>
    <m/>
    <m/>
    <m/>
  </r>
  <r>
    <n v="233"/>
    <x v="3"/>
    <n v="67"/>
    <n v="52"/>
    <n v="40"/>
    <n v="159"/>
    <n v="53"/>
    <x v="1"/>
    <x v="0"/>
    <s v="Below Avg"/>
    <n v="407"/>
    <s v="No"/>
    <m/>
    <m/>
    <m/>
    <m/>
  </r>
  <r>
    <n v="234"/>
    <x v="4"/>
    <n v="61"/>
    <n v="46"/>
    <n v="45"/>
    <n v="152"/>
    <n v="50.666666666666664"/>
    <x v="1"/>
    <x v="0"/>
    <s v="Below Avg"/>
    <n v="440"/>
    <s v="No"/>
    <m/>
    <m/>
    <m/>
    <m/>
  </r>
  <r>
    <n v="235"/>
    <x v="4"/>
    <n v="52"/>
    <n v="84"/>
    <n v="61"/>
    <n v="197"/>
    <n v="65.666666666666671"/>
    <x v="0"/>
    <x v="0"/>
    <s v="Above Avg"/>
    <n v="224"/>
    <s v="No"/>
    <m/>
    <m/>
    <m/>
    <m/>
  </r>
  <r>
    <n v="236"/>
    <x v="5"/>
    <n v="65"/>
    <n v="31"/>
    <n v="91"/>
    <n v="187"/>
    <n v="62.333333333333336"/>
    <x v="0"/>
    <x v="0"/>
    <s v="Below Avg"/>
    <n v="281"/>
    <s v="No"/>
    <m/>
    <m/>
    <m/>
    <m/>
  </r>
  <r>
    <n v="237"/>
    <x v="3"/>
    <n v="58"/>
    <n v="57"/>
    <n v="54"/>
    <n v="169"/>
    <n v="56.333333333333336"/>
    <x v="1"/>
    <x v="0"/>
    <s v="Below Avg"/>
    <n v="370"/>
    <s v="No"/>
    <m/>
    <m/>
    <m/>
    <m/>
  </r>
  <r>
    <n v="238"/>
    <x v="2"/>
    <n v="78"/>
    <n v="79"/>
    <n v="80"/>
    <n v="237"/>
    <n v="79"/>
    <x v="0"/>
    <x v="0"/>
    <s v="Above Avg"/>
    <n v="56"/>
    <s v="Yes"/>
    <m/>
    <m/>
    <m/>
    <m/>
  </r>
  <r>
    <n v="239"/>
    <x v="5"/>
    <n v="91"/>
    <n v="93"/>
    <n v="68"/>
    <n v="252"/>
    <n v="84"/>
    <x v="2"/>
    <x v="0"/>
    <s v="Above Avg"/>
    <n v="27"/>
    <s v="Yes"/>
    <m/>
    <m/>
    <m/>
    <m/>
  </r>
  <r>
    <n v="240"/>
    <x v="1"/>
    <n v="69"/>
    <n v="61"/>
    <n v="97"/>
    <n v="227"/>
    <n v="75.666666666666671"/>
    <x v="0"/>
    <x v="0"/>
    <s v="Above Avg"/>
    <n v="86"/>
    <s v="Yes"/>
    <m/>
    <m/>
    <m/>
    <m/>
  </r>
  <r>
    <n v="241"/>
    <x v="6"/>
    <n v="78"/>
    <n v="94"/>
    <n v="47"/>
    <n v="219"/>
    <n v="73"/>
    <x v="0"/>
    <x v="0"/>
    <s v="Above Avg"/>
    <n v="115"/>
    <s v="No"/>
    <m/>
    <m/>
    <m/>
    <m/>
  </r>
  <r>
    <n v="242"/>
    <x v="1"/>
    <n v="40"/>
    <n v="62"/>
    <n v="67"/>
    <n v="169"/>
    <n v="56.333333333333336"/>
    <x v="1"/>
    <x v="0"/>
    <s v="Below Avg"/>
    <n v="370"/>
    <s v="No"/>
    <m/>
    <m/>
    <m/>
    <m/>
  </r>
  <r>
    <n v="243"/>
    <x v="1"/>
    <n v="66"/>
    <n v="53"/>
    <n v="67"/>
    <n v="186"/>
    <n v="62"/>
    <x v="0"/>
    <x v="0"/>
    <s v="Below Avg"/>
    <n v="290"/>
    <s v="No"/>
    <m/>
    <m/>
    <m/>
    <m/>
  </r>
  <r>
    <n v="244"/>
    <x v="3"/>
    <n v="61"/>
    <n v="94"/>
    <n v="79"/>
    <n v="234"/>
    <n v="78"/>
    <x v="0"/>
    <x v="0"/>
    <s v="Above Avg"/>
    <n v="65"/>
    <s v="Yes"/>
    <m/>
    <m/>
    <m/>
    <m/>
  </r>
  <r>
    <n v="245"/>
    <x v="4"/>
    <n v="72"/>
    <n v="76"/>
    <n v="59"/>
    <n v="207"/>
    <n v="69"/>
    <x v="0"/>
    <x v="0"/>
    <s v="Above Avg"/>
    <n v="175"/>
    <s v="No"/>
    <m/>
    <m/>
    <m/>
    <m/>
  </r>
  <r>
    <n v="246"/>
    <x v="4"/>
    <n v="95"/>
    <n v="64"/>
    <n v="38"/>
    <n v="197"/>
    <n v="65.666666666666671"/>
    <x v="0"/>
    <x v="0"/>
    <s v="Above Avg"/>
    <n v="224"/>
    <s v="No"/>
    <m/>
    <m/>
    <m/>
    <m/>
  </r>
  <r>
    <n v="247"/>
    <x v="6"/>
    <n v="77"/>
    <n v="56"/>
    <n v="73"/>
    <n v="206"/>
    <n v="68.666666666666671"/>
    <x v="0"/>
    <x v="0"/>
    <s v="Above Avg"/>
    <n v="180"/>
    <s v="No"/>
    <m/>
    <m/>
    <m/>
    <m/>
  </r>
  <r>
    <n v="248"/>
    <x v="6"/>
    <n v="87"/>
    <n v="34"/>
    <n v="33"/>
    <n v="154"/>
    <n v="51.333333333333336"/>
    <x v="1"/>
    <x v="0"/>
    <s v="Below Avg"/>
    <n v="430"/>
    <s v="No"/>
    <m/>
    <m/>
    <m/>
    <m/>
  </r>
  <r>
    <n v="249"/>
    <x v="4"/>
    <n v="51"/>
    <n v="92"/>
    <n v="34"/>
    <n v="177"/>
    <n v="59"/>
    <x v="1"/>
    <x v="0"/>
    <s v="Below Avg"/>
    <n v="329"/>
    <s v="No"/>
    <m/>
    <m/>
    <m/>
    <m/>
  </r>
  <r>
    <n v="250"/>
    <x v="0"/>
    <n v="88"/>
    <n v="45"/>
    <n v="97"/>
    <n v="230"/>
    <n v="76.666666666666671"/>
    <x v="0"/>
    <x v="0"/>
    <s v="Above Avg"/>
    <n v="78"/>
    <s v="Yes"/>
    <m/>
    <m/>
    <m/>
    <m/>
  </r>
  <r>
    <n v="251"/>
    <x v="5"/>
    <n v="65"/>
    <n v="88"/>
    <n v="74"/>
    <n v="227"/>
    <n v="75.666666666666671"/>
    <x v="0"/>
    <x v="0"/>
    <s v="Above Avg"/>
    <n v="86"/>
    <s v="Yes"/>
    <m/>
    <m/>
    <m/>
    <m/>
  </r>
  <r>
    <n v="252"/>
    <x v="0"/>
    <n v="67"/>
    <n v="48"/>
    <n v="52"/>
    <n v="167"/>
    <n v="55.666666666666664"/>
    <x v="1"/>
    <x v="0"/>
    <s v="Below Avg"/>
    <n v="378"/>
    <s v="No"/>
    <m/>
    <m/>
    <m/>
    <m/>
  </r>
  <r>
    <n v="253"/>
    <x v="5"/>
    <n v="85"/>
    <n v="58"/>
    <n v="96"/>
    <n v="239"/>
    <n v="79.666666666666671"/>
    <x v="0"/>
    <x v="0"/>
    <s v="Above Avg"/>
    <n v="51"/>
    <s v="Yes"/>
    <m/>
    <m/>
    <m/>
    <m/>
  </r>
  <r>
    <n v="254"/>
    <x v="7"/>
    <n v="57"/>
    <n v="64"/>
    <n v="51"/>
    <n v="172"/>
    <n v="57.333333333333336"/>
    <x v="1"/>
    <x v="0"/>
    <s v="Below Avg"/>
    <n v="351"/>
    <s v="No"/>
    <m/>
    <m/>
    <m/>
    <m/>
  </r>
  <r>
    <n v="255"/>
    <x v="1"/>
    <n v="91"/>
    <n v="80"/>
    <n v="61"/>
    <n v="232"/>
    <n v="77.333333333333329"/>
    <x v="0"/>
    <x v="0"/>
    <s v="Above Avg"/>
    <n v="70"/>
    <s v="Yes"/>
    <m/>
    <m/>
    <m/>
    <m/>
  </r>
  <r>
    <n v="256"/>
    <x v="7"/>
    <n v="35"/>
    <n v="37"/>
    <n v="97"/>
    <n v="169"/>
    <n v="56.333333333333336"/>
    <x v="1"/>
    <x v="0"/>
    <s v="Below Avg"/>
    <n v="370"/>
    <s v="No"/>
    <m/>
    <m/>
    <m/>
    <m/>
  </r>
  <r>
    <n v="257"/>
    <x v="3"/>
    <n v="100"/>
    <n v="64"/>
    <n v="96"/>
    <n v="260"/>
    <n v="86.666666666666671"/>
    <x v="2"/>
    <x v="0"/>
    <s v="Above Avg"/>
    <n v="16"/>
    <s v="Yes"/>
    <m/>
    <m/>
    <m/>
    <m/>
  </r>
  <r>
    <n v="258"/>
    <x v="2"/>
    <n v="56"/>
    <n v="79"/>
    <n v="71"/>
    <n v="206"/>
    <n v="68.666666666666671"/>
    <x v="0"/>
    <x v="0"/>
    <s v="Above Avg"/>
    <n v="180"/>
    <s v="No"/>
    <m/>
    <m/>
    <m/>
    <m/>
  </r>
  <r>
    <n v="259"/>
    <x v="3"/>
    <n v="77"/>
    <n v="68"/>
    <n v="81"/>
    <n v="226"/>
    <n v="75.333333333333329"/>
    <x v="0"/>
    <x v="0"/>
    <s v="Above Avg"/>
    <n v="89"/>
    <s v="Yes"/>
    <m/>
    <m/>
    <m/>
    <m/>
  </r>
  <r>
    <n v="260"/>
    <x v="7"/>
    <n v="86"/>
    <n v="99"/>
    <n v="65"/>
    <n v="250"/>
    <n v="83.333333333333329"/>
    <x v="2"/>
    <x v="0"/>
    <s v="Above Avg"/>
    <n v="33"/>
    <s v="Yes"/>
    <m/>
    <m/>
    <m/>
    <m/>
  </r>
  <r>
    <n v="261"/>
    <x v="4"/>
    <n v="55"/>
    <n v="87"/>
    <n v="56"/>
    <n v="198"/>
    <n v="66"/>
    <x v="0"/>
    <x v="0"/>
    <s v="Above Avg"/>
    <n v="217"/>
    <s v="No"/>
    <m/>
    <m/>
    <m/>
    <m/>
  </r>
  <r>
    <n v="262"/>
    <x v="6"/>
    <n v="69"/>
    <n v="32"/>
    <n v="71"/>
    <n v="172"/>
    <n v="57.333333333333336"/>
    <x v="1"/>
    <x v="0"/>
    <s v="Below Avg"/>
    <n v="351"/>
    <s v="No"/>
    <m/>
    <m/>
    <m/>
    <m/>
  </r>
  <r>
    <n v="263"/>
    <x v="5"/>
    <n v="65"/>
    <n v="36"/>
    <n v="87"/>
    <n v="188"/>
    <n v="62.666666666666664"/>
    <x v="0"/>
    <x v="0"/>
    <s v="Below Avg"/>
    <n v="277"/>
    <s v="No"/>
    <m/>
    <m/>
    <m/>
    <m/>
  </r>
  <r>
    <n v="264"/>
    <x v="0"/>
    <n v="68"/>
    <n v="74"/>
    <n v="41"/>
    <n v="183"/>
    <n v="61"/>
    <x v="0"/>
    <x v="0"/>
    <s v="Below Avg"/>
    <n v="307"/>
    <s v="No"/>
    <m/>
    <m/>
    <m/>
    <m/>
  </r>
  <r>
    <n v="265"/>
    <x v="5"/>
    <n v="35"/>
    <n v="31"/>
    <n v="78"/>
    <n v="144"/>
    <n v="48"/>
    <x v="1"/>
    <x v="0"/>
    <s v="Below Avg"/>
    <n v="456"/>
    <s v="No"/>
    <m/>
    <m/>
    <m/>
    <m/>
  </r>
  <r>
    <n v="266"/>
    <x v="3"/>
    <n v="93"/>
    <n v="94"/>
    <n v="64"/>
    <n v="251"/>
    <n v="83.666666666666671"/>
    <x v="2"/>
    <x v="0"/>
    <s v="Above Avg"/>
    <n v="31"/>
    <s v="Yes"/>
    <m/>
    <m/>
    <m/>
    <m/>
  </r>
  <r>
    <n v="267"/>
    <x v="4"/>
    <n v="43"/>
    <n v="47"/>
    <n v="47"/>
    <n v="137"/>
    <n v="45.666666666666664"/>
    <x v="1"/>
    <x v="0"/>
    <s v="Below Avg"/>
    <n v="474"/>
    <s v="No"/>
    <m/>
    <m/>
    <m/>
    <m/>
  </r>
  <r>
    <n v="268"/>
    <x v="7"/>
    <n v="97"/>
    <n v="61"/>
    <n v="35"/>
    <n v="193"/>
    <n v="64.333333333333329"/>
    <x v="0"/>
    <x v="0"/>
    <s v="Below Avg"/>
    <n v="254"/>
    <s v="No"/>
    <m/>
    <m/>
    <m/>
    <m/>
  </r>
  <r>
    <n v="269"/>
    <x v="6"/>
    <n v="59"/>
    <n v="76"/>
    <n v="77"/>
    <n v="212"/>
    <n v="70.666666666666671"/>
    <x v="0"/>
    <x v="0"/>
    <s v="Above Avg"/>
    <n v="149"/>
    <s v="No"/>
    <m/>
    <m/>
    <m/>
    <m/>
  </r>
  <r>
    <n v="270"/>
    <x v="3"/>
    <n v="65"/>
    <n v="81"/>
    <n v="77"/>
    <n v="223"/>
    <n v="74.333333333333329"/>
    <x v="0"/>
    <x v="0"/>
    <s v="Above Avg"/>
    <n v="98"/>
    <s v="No"/>
    <m/>
    <m/>
    <m/>
    <m/>
  </r>
  <r>
    <n v="271"/>
    <x v="3"/>
    <n v="49"/>
    <n v="49"/>
    <n v="97"/>
    <n v="195"/>
    <n v="65"/>
    <x v="0"/>
    <x v="0"/>
    <s v="Above Avg"/>
    <n v="243"/>
    <s v="No"/>
    <m/>
    <m/>
    <m/>
    <m/>
  </r>
  <r>
    <n v="272"/>
    <x v="4"/>
    <n v="100"/>
    <n v="42"/>
    <n v="67"/>
    <n v="209"/>
    <n v="69.666666666666671"/>
    <x v="0"/>
    <x v="0"/>
    <s v="Above Avg"/>
    <n v="164"/>
    <s v="No"/>
    <m/>
    <m/>
    <m/>
    <m/>
  </r>
  <r>
    <n v="273"/>
    <x v="4"/>
    <n v="87"/>
    <n v="35"/>
    <n v="84"/>
    <n v="206"/>
    <n v="68.666666666666671"/>
    <x v="0"/>
    <x v="0"/>
    <s v="Above Avg"/>
    <n v="180"/>
    <s v="No"/>
    <m/>
    <m/>
    <m/>
    <m/>
  </r>
  <r>
    <n v="274"/>
    <x v="3"/>
    <n v="55"/>
    <n v="62"/>
    <n v="39"/>
    <n v="156"/>
    <n v="52"/>
    <x v="1"/>
    <x v="0"/>
    <s v="Below Avg"/>
    <n v="422"/>
    <s v="No"/>
    <m/>
    <m/>
    <m/>
    <m/>
  </r>
  <r>
    <n v="275"/>
    <x v="2"/>
    <n v="51"/>
    <n v="46"/>
    <n v="87"/>
    <n v="184"/>
    <n v="61.333333333333336"/>
    <x v="0"/>
    <x v="0"/>
    <s v="Below Avg"/>
    <n v="298"/>
    <s v="No"/>
    <m/>
    <m/>
    <m/>
    <m/>
  </r>
  <r>
    <n v="276"/>
    <x v="5"/>
    <n v="49"/>
    <n v="43"/>
    <n v="41"/>
    <n v="133"/>
    <n v="44.333333333333336"/>
    <x v="1"/>
    <x v="0"/>
    <s v="Below Avg"/>
    <n v="480"/>
    <s v="No"/>
    <m/>
    <m/>
    <m/>
    <m/>
  </r>
  <r>
    <n v="277"/>
    <x v="2"/>
    <n v="67"/>
    <n v="78"/>
    <n v="78"/>
    <n v="223"/>
    <n v="74.333333333333329"/>
    <x v="0"/>
    <x v="0"/>
    <s v="Above Avg"/>
    <n v="98"/>
    <s v="No"/>
    <m/>
    <m/>
    <m/>
    <m/>
  </r>
  <r>
    <n v="278"/>
    <x v="4"/>
    <n v="37"/>
    <n v="48"/>
    <n v="84"/>
    <n v="169"/>
    <n v="56.333333333333336"/>
    <x v="1"/>
    <x v="0"/>
    <s v="Below Avg"/>
    <n v="370"/>
    <s v="No"/>
    <m/>
    <m/>
    <m/>
    <m/>
  </r>
  <r>
    <n v="279"/>
    <x v="0"/>
    <n v="31"/>
    <n v="77"/>
    <n v="34"/>
    <n v="142"/>
    <n v="47.333333333333336"/>
    <x v="1"/>
    <x v="0"/>
    <s v="Below Avg"/>
    <n v="462"/>
    <s v="No"/>
    <m/>
    <m/>
    <m/>
    <m/>
  </r>
  <r>
    <n v="280"/>
    <x v="7"/>
    <n v="99"/>
    <n v="48"/>
    <n v="84"/>
    <n v="231"/>
    <n v="77"/>
    <x v="0"/>
    <x v="0"/>
    <s v="Above Avg"/>
    <n v="75"/>
    <s v="Yes"/>
    <m/>
    <m/>
    <m/>
    <m/>
  </r>
  <r>
    <n v="281"/>
    <x v="3"/>
    <n v="68"/>
    <n v="60"/>
    <n v="94"/>
    <n v="222"/>
    <n v="74"/>
    <x v="0"/>
    <x v="0"/>
    <s v="Above Avg"/>
    <n v="105"/>
    <s v="No"/>
    <m/>
    <m/>
    <m/>
    <m/>
  </r>
  <r>
    <n v="282"/>
    <x v="6"/>
    <n v="36"/>
    <n v="56"/>
    <n v="38"/>
    <n v="130"/>
    <n v="43.333333333333336"/>
    <x v="1"/>
    <x v="0"/>
    <s v="Below Avg"/>
    <n v="487"/>
    <s v="No"/>
    <m/>
    <m/>
    <m/>
    <m/>
  </r>
  <r>
    <n v="283"/>
    <x v="5"/>
    <n v="78"/>
    <n v="63"/>
    <n v="61"/>
    <n v="202"/>
    <n v="67.333333333333329"/>
    <x v="0"/>
    <x v="0"/>
    <s v="Above Avg"/>
    <n v="204"/>
    <s v="No"/>
    <m/>
    <m/>
    <m/>
    <m/>
  </r>
  <r>
    <n v="284"/>
    <x v="1"/>
    <n v="95"/>
    <n v="61"/>
    <n v="40"/>
    <n v="196"/>
    <n v="65.333333333333329"/>
    <x v="0"/>
    <x v="0"/>
    <s v="Above Avg"/>
    <n v="235"/>
    <s v="No"/>
    <m/>
    <m/>
    <m/>
    <m/>
  </r>
  <r>
    <n v="285"/>
    <x v="5"/>
    <n v="33"/>
    <n v="90"/>
    <n v="75"/>
    <n v="198"/>
    <n v="66"/>
    <x v="0"/>
    <x v="0"/>
    <s v="Above Avg"/>
    <n v="217"/>
    <s v="No"/>
    <m/>
    <m/>
    <m/>
    <m/>
  </r>
  <r>
    <n v="286"/>
    <x v="1"/>
    <n v="71"/>
    <n v="79"/>
    <n v="82"/>
    <n v="232"/>
    <n v="77.333333333333329"/>
    <x v="0"/>
    <x v="0"/>
    <s v="Above Avg"/>
    <n v="70"/>
    <s v="Yes"/>
    <m/>
    <m/>
    <m/>
    <m/>
  </r>
  <r>
    <n v="287"/>
    <x v="7"/>
    <n v="46"/>
    <n v="36"/>
    <n v="38"/>
    <n v="120"/>
    <n v="40"/>
    <x v="1"/>
    <x v="0"/>
    <s v="Below Avg"/>
    <n v="495"/>
    <s v="No"/>
    <m/>
    <m/>
    <m/>
    <m/>
  </r>
  <r>
    <n v="288"/>
    <x v="3"/>
    <n v="43"/>
    <n v="41"/>
    <n v="69"/>
    <n v="153"/>
    <n v="51"/>
    <x v="1"/>
    <x v="0"/>
    <s v="Below Avg"/>
    <n v="433"/>
    <s v="No"/>
    <m/>
    <m/>
    <m/>
    <m/>
  </r>
  <r>
    <n v="289"/>
    <x v="6"/>
    <n v="33"/>
    <n v="96"/>
    <n v="51"/>
    <n v="180"/>
    <n v="60"/>
    <x v="0"/>
    <x v="0"/>
    <s v="Below Avg"/>
    <n v="318"/>
    <s v="No"/>
    <m/>
    <m/>
    <m/>
    <m/>
  </r>
  <r>
    <n v="290"/>
    <x v="4"/>
    <n v="38"/>
    <n v="41"/>
    <n v="74"/>
    <n v="153"/>
    <n v="51"/>
    <x v="1"/>
    <x v="0"/>
    <s v="Below Avg"/>
    <n v="433"/>
    <s v="No"/>
    <m/>
    <m/>
    <m/>
    <m/>
  </r>
  <r>
    <n v="291"/>
    <x v="4"/>
    <n v="67"/>
    <n v="83"/>
    <n v="89"/>
    <n v="239"/>
    <n v="79.666666666666671"/>
    <x v="0"/>
    <x v="0"/>
    <s v="Above Avg"/>
    <n v="51"/>
    <s v="Yes"/>
    <m/>
    <m/>
    <m/>
    <m/>
  </r>
  <r>
    <n v="292"/>
    <x v="0"/>
    <n v="67"/>
    <n v="69"/>
    <n v="51"/>
    <n v="187"/>
    <n v="62.333333333333336"/>
    <x v="0"/>
    <x v="0"/>
    <s v="Below Avg"/>
    <n v="281"/>
    <s v="No"/>
    <m/>
    <m/>
    <m/>
    <m/>
  </r>
  <r>
    <n v="293"/>
    <x v="5"/>
    <n v="63"/>
    <n v="73"/>
    <n v="45"/>
    <n v="181"/>
    <n v="60.333333333333336"/>
    <x v="0"/>
    <x v="0"/>
    <s v="Below Avg"/>
    <n v="314"/>
    <s v="No"/>
    <m/>
    <m/>
    <m/>
    <m/>
  </r>
  <r>
    <n v="294"/>
    <x v="2"/>
    <n v="48"/>
    <n v="68"/>
    <n v="37"/>
    <n v="153"/>
    <n v="51"/>
    <x v="1"/>
    <x v="0"/>
    <s v="Below Avg"/>
    <n v="433"/>
    <s v="No"/>
    <m/>
    <m/>
    <m/>
    <m/>
  </r>
  <r>
    <n v="295"/>
    <x v="5"/>
    <n v="98"/>
    <n v="61"/>
    <n v="37"/>
    <n v="196"/>
    <n v="65.333333333333329"/>
    <x v="0"/>
    <x v="0"/>
    <s v="Above Avg"/>
    <n v="235"/>
    <s v="No"/>
    <m/>
    <m/>
    <m/>
    <m/>
  </r>
  <r>
    <n v="296"/>
    <x v="2"/>
    <n v="91"/>
    <n v="46"/>
    <n v="66"/>
    <n v="203"/>
    <n v="67.666666666666671"/>
    <x v="0"/>
    <x v="0"/>
    <s v="Above Avg"/>
    <n v="195"/>
    <s v="No"/>
    <m/>
    <m/>
    <m/>
    <m/>
  </r>
  <r>
    <n v="297"/>
    <x v="0"/>
    <n v="42"/>
    <n v="46"/>
    <n v="68"/>
    <n v="156"/>
    <n v="52"/>
    <x v="1"/>
    <x v="0"/>
    <s v="Below Avg"/>
    <n v="422"/>
    <s v="No"/>
    <m/>
    <m/>
    <m/>
    <m/>
  </r>
  <r>
    <n v="298"/>
    <x v="1"/>
    <n v="67"/>
    <n v="89"/>
    <n v="50"/>
    <n v="206"/>
    <n v="68.666666666666671"/>
    <x v="0"/>
    <x v="0"/>
    <s v="Above Avg"/>
    <n v="180"/>
    <s v="No"/>
    <m/>
    <m/>
    <m/>
    <m/>
  </r>
  <r>
    <n v="299"/>
    <x v="5"/>
    <n v="36"/>
    <n v="51"/>
    <n v="97"/>
    <n v="184"/>
    <n v="61.333333333333336"/>
    <x v="0"/>
    <x v="0"/>
    <s v="Below Avg"/>
    <n v="298"/>
    <s v="No"/>
    <m/>
    <m/>
    <m/>
    <m/>
  </r>
  <r>
    <n v="300"/>
    <x v="5"/>
    <n v="97"/>
    <n v="75"/>
    <n v="54"/>
    <n v="226"/>
    <n v="75.333333333333329"/>
    <x v="0"/>
    <x v="0"/>
    <s v="Above Avg"/>
    <n v="89"/>
    <s v="Yes"/>
    <m/>
    <m/>
    <m/>
    <m/>
  </r>
  <r>
    <n v="301"/>
    <x v="3"/>
    <n v="88"/>
    <n v="42"/>
    <n v="60"/>
    <n v="190"/>
    <n v="63.333333333333336"/>
    <x v="0"/>
    <x v="0"/>
    <s v="Below Avg"/>
    <n v="271"/>
    <s v="No"/>
    <m/>
    <m/>
    <m/>
    <m/>
  </r>
  <r>
    <n v="302"/>
    <x v="0"/>
    <n v="58"/>
    <n v="35"/>
    <n v="84"/>
    <n v="177"/>
    <n v="59"/>
    <x v="1"/>
    <x v="0"/>
    <s v="Below Avg"/>
    <n v="329"/>
    <s v="No"/>
    <m/>
    <m/>
    <m/>
    <m/>
  </r>
  <r>
    <n v="303"/>
    <x v="4"/>
    <n v="39"/>
    <n v="76"/>
    <n v="58"/>
    <n v="173"/>
    <n v="57.666666666666664"/>
    <x v="1"/>
    <x v="0"/>
    <s v="Below Avg"/>
    <n v="346"/>
    <s v="No"/>
    <m/>
    <m/>
    <m/>
    <m/>
  </r>
  <r>
    <n v="304"/>
    <x v="7"/>
    <n v="69"/>
    <n v="58"/>
    <n v="31"/>
    <n v="158"/>
    <n v="52.666666666666664"/>
    <x v="1"/>
    <x v="0"/>
    <s v="Below Avg"/>
    <n v="411"/>
    <s v="No"/>
    <m/>
    <m/>
    <m/>
    <m/>
  </r>
  <r>
    <n v="305"/>
    <x v="4"/>
    <n v="65"/>
    <n v="59"/>
    <n v="89"/>
    <n v="213"/>
    <n v="71"/>
    <x v="0"/>
    <x v="0"/>
    <s v="Above Avg"/>
    <n v="144"/>
    <s v="No"/>
    <m/>
    <m/>
    <m/>
    <m/>
  </r>
  <r>
    <n v="306"/>
    <x v="3"/>
    <n v="72"/>
    <n v="98"/>
    <n v="96"/>
    <n v="266"/>
    <n v="88.666666666666671"/>
    <x v="2"/>
    <x v="0"/>
    <s v="Above Avg"/>
    <n v="8"/>
    <s v="Yes"/>
    <m/>
    <m/>
    <m/>
    <m/>
  </r>
  <r>
    <n v="307"/>
    <x v="6"/>
    <n v="52"/>
    <n v="67"/>
    <n v="94"/>
    <n v="213"/>
    <n v="71"/>
    <x v="0"/>
    <x v="0"/>
    <s v="Above Avg"/>
    <n v="144"/>
    <s v="No"/>
    <m/>
    <m/>
    <m/>
    <m/>
  </r>
  <r>
    <n v="308"/>
    <x v="3"/>
    <n v="96"/>
    <n v="66"/>
    <n v="98"/>
    <n v="260"/>
    <n v="86.666666666666671"/>
    <x v="2"/>
    <x v="0"/>
    <s v="Above Avg"/>
    <n v="16"/>
    <s v="Yes"/>
    <m/>
    <m/>
    <m/>
    <m/>
  </r>
  <r>
    <n v="309"/>
    <x v="0"/>
    <n v="59"/>
    <n v="39"/>
    <n v="31"/>
    <n v="129"/>
    <n v="43"/>
    <x v="1"/>
    <x v="0"/>
    <s v="Below Avg"/>
    <n v="488"/>
    <s v="No"/>
    <m/>
    <m/>
    <m/>
    <m/>
  </r>
  <r>
    <n v="310"/>
    <x v="7"/>
    <n v="48"/>
    <n v="60"/>
    <n v="39"/>
    <n v="147"/>
    <n v="49"/>
    <x v="1"/>
    <x v="0"/>
    <s v="Below Avg"/>
    <n v="451"/>
    <s v="No"/>
    <m/>
    <m/>
    <m/>
    <m/>
  </r>
  <r>
    <n v="311"/>
    <x v="0"/>
    <n v="63"/>
    <n v="88"/>
    <n v="85"/>
    <n v="236"/>
    <n v="78.666666666666671"/>
    <x v="0"/>
    <x v="0"/>
    <s v="Above Avg"/>
    <n v="59"/>
    <s v="Yes"/>
    <m/>
    <m/>
    <m/>
    <m/>
  </r>
  <r>
    <n v="312"/>
    <x v="0"/>
    <n v="61"/>
    <n v="99"/>
    <n v="81"/>
    <n v="241"/>
    <n v="80.333333333333329"/>
    <x v="2"/>
    <x v="0"/>
    <s v="Above Avg"/>
    <n v="48"/>
    <s v="Yes"/>
    <m/>
    <m/>
    <m/>
    <m/>
  </r>
  <r>
    <n v="313"/>
    <x v="1"/>
    <n v="73"/>
    <n v="47"/>
    <n v="38"/>
    <n v="158"/>
    <n v="52.666666666666664"/>
    <x v="1"/>
    <x v="0"/>
    <s v="Below Avg"/>
    <n v="411"/>
    <s v="No"/>
    <m/>
    <m/>
    <m/>
    <m/>
  </r>
  <r>
    <n v="314"/>
    <x v="4"/>
    <n v="48"/>
    <n v="73"/>
    <n v="71"/>
    <n v="192"/>
    <n v="64"/>
    <x v="0"/>
    <x v="0"/>
    <s v="Below Avg"/>
    <n v="259"/>
    <s v="No"/>
    <m/>
    <m/>
    <m/>
    <m/>
  </r>
  <r>
    <n v="315"/>
    <x v="4"/>
    <n v="100"/>
    <n v="95"/>
    <n v="75"/>
    <n v="270"/>
    <n v="90"/>
    <x v="2"/>
    <x v="0"/>
    <s v="Above Avg"/>
    <n v="6"/>
    <s v="Yes"/>
    <m/>
    <m/>
    <m/>
    <m/>
  </r>
  <r>
    <n v="316"/>
    <x v="2"/>
    <n v="34"/>
    <n v="80"/>
    <n v="71"/>
    <n v="185"/>
    <n v="61.666666666666664"/>
    <x v="0"/>
    <x v="0"/>
    <s v="Below Avg"/>
    <n v="292"/>
    <s v="No"/>
    <m/>
    <m/>
    <m/>
    <m/>
  </r>
  <r>
    <n v="317"/>
    <x v="3"/>
    <n v="36"/>
    <n v="35"/>
    <n v="93"/>
    <n v="164"/>
    <n v="54.666666666666664"/>
    <x v="1"/>
    <x v="0"/>
    <s v="Below Avg"/>
    <n v="392"/>
    <s v="No"/>
    <m/>
    <m/>
    <m/>
    <m/>
  </r>
  <r>
    <n v="318"/>
    <x v="4"/>
    <n v="50"/>
    <n v="95"/>
    <n v="48"/>
    <n v="193"/>
    <n v="64.333333333333329"/>
    <x v="0"/>
    <x v="0"/>
    <s v="Below Avg"/>
    <n v="254"/>
    <s v="No"/>
    <m/>
    <m/>
    <m/>
    <m/>
  </r>
  <r>
    <n v="319"/>
    <x v="5"/>
    <n v="78"/>
    <n v="30"/>
    <n v="100"/>
    <n v="208"/>
    <n v="69.333333333333329"/>
    <x v="0"/>
    <x v="0"/>
    <s v="Above Avg"/>
    <n v="172"/>
    <s v="No"/>
    <m/>
    <m/>
    <m/>
    <m/>
  </r>
  <r>
    <n v="320"/>
    <x v="4"/>
    <n v="52"/>
    <n v="78"/>
    <n v="57"/>
    <n v="187"/>
    <n v="62.333333333333336"/>
    <x v="0"/>
    <x v="0"/>
    <s v="Below Avg"/>
    <n v="281"/>
    <s v="No"/>
    <m/>
    <m/>
    <m/>
    <m/>
  </r>
  <r>
    <n v="321"/>
    <x v="2"/>
    <n v="92"/>
    <n v="33"/>
    <n v="50"/>
    <n v="175"/>
    <n v="58.333333333333336"/>
    <x v="1"/>
    <x v="0"/>
    <s v="Below Avg"/>
    <n v="336"/>
    <s v="No"/>
    <m/>
    <m/>
    <m/>
    <m/>
  </r>
  <r>
    <n v="322"/>
    <x v="6"/>
    <n v="54"/>
    <n v="46"/>
    <n v="70"/>
    <n v="170"/>
    <n v="56.666666666666664"/>
    <x v="1"/>
    <x v="0"/>
    <s v="Below Avg"/>
    <n v="364"/>
    <s v="No"/>
    <m/>
    <m/>
    <m/>
    <m/>
  </r>
  <r>
    <n v="323"/>
    <x v="4"/>
    <n v="50"/>
    <n v="86"/>
    <n v="61"/>
    <n v="197"/>
    <n v="65.666666666666671"/>
    <x v="0"/>
    <x v="0"/>
    <s v="Above Avg"/>
    <n v="224"/>
    <s v="No"/>
    <m/>
    <m/>
    <m/>
    <m/>
  </r>
  <r>
    <n v="324"/>
    <x v="4"/>
    <n v="68"/>
    <n v="38"/>
    <n v="39"/>
    <n v="145"/>
    <n v="48.333333333333336"/>
    <x v="1"/>
    <x v="0"/>
    <s v="Below Avg"/>
    <n v="454"/>
    <s v="No"/>
    <m/>
    <m/>
    <m/>
    <m/>
  </r>
  <r>
    <n v="325"/>
    <x v="1"/>
    <n v="74"/>
    <n v="100"/>
    <n v="42"/>
    <n v="216"/>
    <n v="72"/>
    <x v="0"/>
    <x v="0"/>
    <s v="Above Avg"/>
    <n v="130"/>
    <s v="No"/>
    <m/>
    <m/>
    <m/>
    <m/>
  </r>
  <r>
    <n v="326"/>
    <x v="1"/>
    <n v="56"/>
    <n v="85"/>
    <n v="71"/>
    <n v="212"/>
    <n v="70.666666666666671"/>
    <x v="0"/>
    <x v="0"/>
    <s v="Above Avg"/>
    <n v="149"/>
    <s v="No"/>
    <m/>
    <m/>
    <m/>
    <m/>
  </r>
  <r>
    <n v="327"/>
    <x v="6"/>
    <n v="89"/>
    <n v="87"/>
    <n v="35"/>
    <n v="211"/>
    <n v="70.333333333333329"/>
    <x v="0"/>
    <x v="0"/>
    <s v="Above Avg"/>
    <n v="153"/>
    <s v="No"/>
    <m/>
    <m/>
    <m/>
    <m/>
  </r>
  <r>
    <n v="328"/>
    <x v="3"/>
    <n v="99"/>
    <n v="59"/>
    <n v="58"/>
    <n v="216"/>
    <n v="72"/>
    <x v="0"/>
    <x v="0"/>
    <s v="Above Avg"/>
    <n v="130"/>
    <s v="No"/>
    <m/>
    <m/>
    <m/>
    <m/>
  </r>
  <r>
    <n v="329"/>
    <x v="4"/>
    <n v="60"/>
    <n v="78"/>
    <n v="74"/>
    <n v="212"/>
    <n v="70.666666666666671"/>
    <x v="0"/>
    <x v="0"/>
    <s v="Above Avg"/>
    <n v="149"/>
    <s v="No"/>
    <m/>
    <m/>
    <m/>
    <m/>
  </r>
  <r>
    <n v="330"/>
    <x v="5"/>
    <n v="32"/>
    <n v="67"/>
    <n v="100"/>
    <n v="199"/>
    <n v="66.333333333333329"/>
    <x v="0"/>
    <x v="0"/>
    <s v="Above Avg"/>
    <n v="215"/>
    <s v="No"/>
    <m/>
    <m/>
    <m/>
    <m/>
  </r>
  <r>
    <n v="331"/>
    <x v="2"/>
    <n v="72"/>
    <n v="30"/>
    <n v="95"/>
    <n v="197"/>
    <n v="65.666666666666671"/>
    <x v="0"/>
    <x v="0"/>
    <s v="Above Avg"/>
    <n v="224"/>
    <s v="No"/>
    <m/>
    <m/>
    <m/>
    <m/>
  </r>
  <r>
    <n v="332"/>
    <x v="7"/>
    <n v="74"/>
    <n v="81"/>
    <n v="91"/>
    <n v="246"/>
    <n v="82"/>
    <x v="2"/>
    <x v="0"/>
    <s v="Above Avg"/>
    <n v="40"/>
    <s v="Yes"/>
    <m/>
    <m/>
    <m/>
    <m/>
  </r>
  <r>
    <n v="333"/>
    <x v="0"/>
    <n v="70"/>
    <n v="32"/>
    <n v="33"/>
    <n v="135"/>
    <n v="45"/>
    <x v="1"/>
    <x v="0"/>
    <s v="Below Avg"/>
    <n v="477"/>
    <s v="No"/>
    <m/>
    <m/>
    <m/>
    <m/>
  </r>
  <r>
    <n v="334"/>
    <x v="6"/>
    <n v="97"/>
    <n v="40"/>
    <n v="68"/>
    <n v="205"/>
    <n v="68.333333333333329"/>
    <x v="0"/>
    <x v="0"/>
    <s v="Above Avg"/>
    <n v="188"/>
    <s v="No"/>
    <m/>
    <m/>
    <m/>
    <m/>
  </r>
  <r>
    <n v="335"/>
    <x v="7"/>
    <n v="74"/>
    <n v="46"/>
    <n v="94"/>
    <n v="214"/>
    <n v="71.333333333333329"/>
    <x v="0"/>
    <x v="0"/>
    <s v="Above Avg"/>
    <n v="140"/>
    <s v="No"/>
    <m/>
    <m/>
    <m/>
    <m/>
  </r>
  <r>
    <n v="336"/>
    <x v="5"/>
    <n v="49"/>
    <n v="71"/>
    <n v="49"/>
    <n v="169"/>
    <n v="56.333333333333336"/>
    <x v="1"/>
    <x v="0"/>
    <s v="Below Avg"/>
    <n v="370"/>
    <s v="No"/>
    <m/>
    <m/>
    <m/>
    <m/>
  </r>
  <r>
    <n v="337"/>
    <x v="4"/>
    <n v="37"/>
    <n v="59"/>
    <n v="76"/>
    <n v="172"/>
    <n v="57.333333333333336"/>
    <x v="1"/>
    <x v="0"/>
    <s v="Below Avg"/>
    <n v="351"/>
    <s v="No"/>
    <m/>
    <m/>
    <m/>
    <m/>
  </r>
  <r>
    <n v="338"/>
    <x v="0"/>
    <n v="98"/>
    <n v="62"/>
    <n v="62"/>
    <n v="222"/>
    <n v="74"/>
    <x v="0"/>
    <x v="0"/>
    <s v="Above Avg"/>
    <n v="105"/>
    <s v="No"/>
    <m/>
    <m/>
    <m/>
    <m/>
  </r>
  <r>
    <n v="339"/>
    <x v="7"/>
    <n v="56"/>
    <n v="64"/>
    <n v="45"/>
    <n v="165"/>
    <n v="55"/>
    <x v="1"/>
    <x v="0"/>
    <s v="Below Avg"/>
    <n v="389"/>
    <s v="No"/>
    <m/>
    <m/>
    <m/>
    <m/>
  </r>
  <r>
    <n v="340"/>
    <x v="5"/>
    <n v="45"/>
    <n v="30"/>
    <n v="34"/>
    <n v="109"/>
    <n v="36.333333333333336"/>
    <x v="3"/>
    <x v="1"/>
    <s v="Below Avg"/>
    <n v="498"/>
    <s v="No"/>
    <m/>
    <m/>
    <m/>
    <m/>
  </r>
  <r>
    <n v="341"/>
    <x v="4"/>
    <n v="44"/>
    <n v="45"/>
    <n v="90"/>
    <n v="179"/>
    <n v="59.666666666666664"/>
    <x v="1"/>
    <x v="0"/>
    <s v="Below Avg"/>
    <n v="322"/>
    <s v="No"/>
    <m/>
    <m/>
    <m/>
    <m/>
  </r>
  <r>
    <n v="342"/>
    <x v="7"/>
    <n v="61"/>
    <n v="96"/>
    <n v="38"/>
    <n v="195"/>
    <n v="65"/>
    <x v="0"/>
    <x v="0"/>
    <s v="Above Avg"/>
    <n v="243"/>
    <s v="No"/>
    <m/>
    <m/>
    <m/>
    <m/>
  </r>
  <r>
    <n v="343"/>
    <x v="4"/>
    <n v="53"/>
    <n v="30"/>
    <n v="84"/>
    <n v="167"/>
    <n v="55.666666666666664"/>
    <x v="1"/>
    <x v="0"/>
    <s v="Below Avg"/>
    <n v="378"/>
    <s v="No"/>
    <m/>
    <m/>
    <m/>
    <m/>
  </r>
  <r>
    <n v="344"/>
    <x v="2"/>
    <n v="95"/>
    <n v="50"/>
    <n v="70"/>
    <n v="215"/>
    <n v="71.666666666666671"/>
    <x v="0"/>
    <x v="0"/>
    <s v="Above Avg"/>
    <n v="135"/>
    <s v="No"/>
    <m/>
    <m/>
    <m/>
    <m/>
  </r>
  <r>
    <n v="345"/>
    <x v="4"/>
    <n v="53"/>
    <n v="67"/>
    <n v="97"/>
    <n v="217"/>
    <n v="72.333333333333329"/>
    <x v="0"/>
    <x v="0"/>
    <s v="Above Avg"/>
    <n v="125"/>
    <s v="No"/>
    <m/>
    <m/>
    <m/>
    <m/>
  </r>
  <r>
    <n v="346"/>
    <x v="0"/>
    <n v="42"/>
    <n v="57"/>
    <n v="93"/>
    <n v="192"/>
    <n v="64"/>
    <x v="0"/>
    <x v="0"/>
    <s v="Below Avg"/>
    <n v="259"/>
    <s v="No"/>
    <m/>
    <m/>
    <m/>
    <m/>
  </r>
  <r>
    <n v="347"/>
    <x v="3"/>
    <n v="86"/>
    <n v="32"/>
    <n v="49"/>
    <n v="167"/>
    <n v="55.666666666666664"/>
    <x v="1"/>
    <x v="0"/>
    <s v="Below Avg"/>
    <n v="378"/>
    <s v="No"/>
    <m/>
    <m/>
    <m/>
    <m/>
  </r>
  <r>
    <n v="348"/>
    <x v="0"/>
    <n v="66"/>
    <n v="31"/>
    <n v="62"/>
    <n v="159"/>
    <n v="53"/>
    <x v="1"/>
    <x v="0"/>
    <s v="Below Avg"/>
    <n v="407"/>
    <s v="No"/>
    <m/>
    <m/>
    <m/>
    <m/>
  </r>
  <r>
    <n v="349"/>
    <x v="3"/>
    <n v="98"/>
    <n v="36"/>
    <n v="74"/>
    <n v="208"/>
    <n v="69.333333333333329"/>
    <x v="0"/>
    <x v="0"/>
    <s v="Above Avg"/>
    <n v="172"/>
    <s v="No"/>
    <m/>
    <m/>
    <m/>
    <m/>
  </r>
  <r>
    <n v="350"/>
    <x v="7"/>
    <n v="63"/>
    <n v="70"/>
    <n v="55"/>
    <n v="188"/>
    <n v="62.666666666666664"/>
    <x v="0"/>
    <x v="0"/>
    <s v="Below Avg"/>
    <n v="277"/>
    <s v="No"/>
    <m/>
    <m/>
    <m/>
    <m/>
  </r>
  <r>
    <n v="351"/>
    <x v="6"/>
    <n v="30"/>
    <n v="68"/>
    <n v="51"/>
    <n v="149"/>
    <n v="49.666666666666664"/>
    <x v="1"/>
    <x v="0"/>
    <s v="Below Avg"/>
    <n v="446"/>
    <s v="No"/>
    <m/>
    <m/>
    <m/>
    <m/>
  </r>
  <r>
    <n v="352"/>
    <x v="4"/>
    <n v="55"/>
    <n v="64"/>
    <n v="47"/>
    <n v="166"/>
    <n v="55.333333333333336"/>
    <x v="1"/>
    <x v="0"/>
    <s v="Below Avg"/>
    <n v="384"/>
    <s v="No"/>
    <m/>
    <m/>
    <m/>
    <m/>
  </r>
  <r>
    <n v="353"/>
    <x v="6"/>
    <n v="58"/>
    <n v="100"/>
    <n v="33"/>
    <n v="191"/>
    <n v="63.666666666666664"/>
    <x v="0"/>
    <x v="0"/>
    <s v="Below Avg"/>
    <n v="265"/>
    <s v="No"/>
    <m/>
    <m/>
    <m/>
    <m/>
  </r>
  <r>
    <n v="354"/>
    <x v="3"/>
    <n v="42"/>
    <n v="90"/>
    <n v="43"/>
    <n v="175"/>
    <n v="58.333333333333336"/>
    <x v="1"/>
    <x v="0"/>
    <s v="Below Avg"/>
    <n v="336"/>
    <s v="No"/>
    <m/>
    <m/>
    <m/>
    <m/>
  </r>
  <r>
    <n v="355"/>
    <x v="6"/>
    <n v="63"/>
    <n v="92"/>
    <n v="93"/>
    <n v="248"/>
    <n v="82.666666666666671"/>
    <x v="2"/>
    <x v="0"/>
    <s v="Above Avg"/>
    <n v="38"/>
    <s v="Yes"/>
    <m/>
    <m/>
    <m/>
    <m/>
  </r>
  <r>
    <n v="356"/>
    <x v="6"/>
    <n v="80"/>
    <n v="44"/>
    <n v="36"/>
    <n v="160"/>
    <n v="53.333333333333336"/>
    <x v="1"/>
    <x v="0"/>
    <s v="Below Avg"/>
    <n v="405"/>
    <s v="No"/>
    <m/>
    <m/>
    <m/>
    <m/>
  </r>
  <r>
    <n v="357"/>
    <x v="3"/>
    <n v="50"/>
    <n v="67"/>
    <n v="38"/>
    <n v="155"/>
    <n v="51.666666666666664"/>
    <x v="1"/>
    <x v="0"/>
    <s v="Below Avg"/>
    <n v="426"/>
    <s v="No"/>
    <m/>
    <m/>
    <m/>
    <m/>
  </r>
  <r>
    <n v="358"/>
    <x v="2"/>
    <n v="86"/>
    <n v="100"/>
    <n v="66"/>
    <n v="252"/>
    <n v="84"/>
    <x v="2"/>
    <x v="0"/>
    <s v="Above Avg"/>
    <n v="27"/>
    <s v="Yes"/>
    <m/>
    <m/>
    <m/>
    <m/>
  </r>
  <r>
    <n v="359"/>
    <x v="7"/>
    <n v="68"/>
    <n v="47"/>
    <n v="85"/>
    <n v="200"/>
    <n v="66.666666666666671"/>
    <x v="0"/>
    <x v="0"/>
    <s v="Above Avg"/>
    <n v="210"/>
    <s v="No"/>
    <m/>
    <m/>
    <m/>
    <m/>
  </r>
  <r>
    <n v="360"/>
    <x v="3"/>
    <n v="72"/>
    <n v="78"/>
    <n v="86"/>
    <n v="236"/>
    <n v="78.666666666666671"/>
    <x v="0"/>
    <x v="0"/>
    <s v="Above Avg"/>
    <n v="59"/>
    <s v="Yes"/>
    <m/>
    <m/>
    <m/>
    <m/>
  </r>
  <r>
    <n v="361"/>
    <x v="7"/>
    <n v="59"/>
    <n v="47"/>
    <n v="59"/>
    <n v="165"/>
    <n v="55"/>
    <x v="1"/>
    <x v="0"/>
    <s v="Below Avg"/>
    <n v="389"/>
    <s v="No"/>
    <m/>
    <m/>
    <m/>
    <m/>
  </r>
  <r>
    <n v="362"/>
    <x v="0"/>
    <n v="59"/>
    <n v="91"/>
    <n v="69"/>
    <n v="219"/>
    <n v="73"/>
    <x v="0"/>
    <x v="0"/>
    <s v="Above Avg"/>
    <n v="115"/>
    <s v="No"/>
    <m/>
    <m/>
    <m/>
    <m/>
  </r>
  <r>
    <n v="363"/>
    <x v="3"/>
    <n v="83"/>
    <n v="84"/>
    <n v="97"/>
    <n v="264"/>
    <n v="88"/>
    <x v="2"/>
    <x v="0"/>
    <s v="Above Avg"/>
    <n v="10"/>
    <s v="Yes"/>
    <m/>
    <m/>
    <m/>
    <m/>
  </r>
  <r>
    <n v="364"/>
    <x v="3"/>
    <n v="41"/>
    <n v="50"/>
    <n v="52"/>
    <n v="143"/>
    <n v="47.666666666666664"/>
    <x v="1"/>
    <x v="0"/>
    <s v="Below Avg"/>
    <n v="458"/>
    <s v="No"/>
    <m/>
    <m/>
    <m/>
    <m/>
  </r>
  <r>
    <n v="365"/>
    <x v="2"/>
    <n v="72"/>
    <n v="38"/>
    <n v="48"/>
    <n v="158"/>
    <n v="52.666666666666664"/>
    <x v="1"/>
    <x v="0"/>
    <s v="Below Avg"/>
    <n v="411"/>
    <s v="No"/>
    <m/>
    <m/>
    <m/>
    <m/>
  </r>
  <r>
    <n v="366"/>
    <x v="0"/>
    <n v="82"/>
    <n v="92"/>
    <n v="58"/>
    <n v="232"/>
    <n v="77.333333333333329"/>
    <x v="0"/>
    <x v="0"/>
    <s v="Above Avg"/>
    <n v="70"/>
    <s v="Yes"/>
    <m/>
    <m/>
    <m/>
    <m/>
  </r>
  <r>
    <n v="367"/>
    <x v="3"/>
    <n v="100"/>
    <n v="37"/>
    <n v="40"/>
    <n v="177"/>
    <n v="59"/>
    <x v="1"/>
    <x v="0"/>
    <s v="Below Avg"/>
    <n v="329"/>
    <s v="No"/>
    <m/>
    <m/>
    <m/>
    <m/>
  </r>
  <r>
    <n v="368"/>
    <x v="3"/>
    <n v="69"/>
    <n v="32"/>
    <n v="86"/>
    <n v="187"/>
    <n v="62.333333333333336"/>
    <x v="0"/>
    <x v="0"/>
    <s v="Below Avg"/>
    <n v="281"/>
    <s v="No"/>
    <m/>
    <m/>
    <m/>
    <m/>
  </r>
  <r>
    <n v="369"/>
    <x v="7"/>
    <n v="91"/>
    <n v="43"/>
    <n v="73"/>
    <n v="207"/>
    <n v="69"/>
    <x v="0"/>
    <x v="0"/>
    <s v="Above Avg"/>
    <n v="175"/>
    <s v="No"/>
    <m/>
    <m/>
    <m/>
    <m/>
  </r>
  <r>
    <n v="370"/>
    <x v="2"/>
    <n v="91"/>
    <n v="55"/>
    <n v="65"/>
    <n v="211"/>
    <n v="70.333333333333329"/>
    <x v="0"/>
    <x v="0"/>
    <s v="Above Avg"/>
    <n v="153"/>
    <s v="No"/>
    <m/>
    <m/>
    <m/>
    <m/>
  </r>
  <r>
    <n v="371"/>
    <x v="5"/>
    <n v="35"/>
    <n v="57"/>
    <n v="82"/>
    <n v="174"/>
    <n v="58"/>
    <x v="1"/>
    <x v="0"/>
    <s v="Below Avg"/>
    <n v="340"/>
    <s v="No"/>
    <m/>
    <m/>
    <m/>
    <m/>
  </r>
  <r>
    <n v="372"/>
    <x v="1"/>
    <n v="37"/>
    <n v="77"/>
    <n v="82"/>
    <n v="196"/>
    <n v="65.333333333333329"/>
    <x v="0"/>
    <x v="0"/>
    <s v="Above Avg"/>
    <n v="235"/>
    <s v="No"/>
    <m/>
    <m/>
    <m/>
    <m/>
  </r>
  <r>
    <n v="373"/>
    <x v="7"/>
    <n v="76"/>
    <n v="86"/>
    <n v="68"/>
    <n v="230"/>
    <n v="76.666666666666671"/>
    <x v="0"/>
    <x v="0"/>
    <s v="Above Avg"/>
    <n v="78"/>
    <s v="Yes"/>
    <m/>
    <m/>
    <m/>
    <m/>
  </r>
  <r>
    <n v="374"/>
    <x v="2"/>
    <n v="84"/>
    <n v="80"/>
    <n v="100"/>
    <n v="264"/>
    <n v="88"/>
    <x v="2"/>
    <x v="0"/>
    <s v="Above Avg"/>
    <n v="10"/>
    <s v="Yes"/>
    <m/>
    <m/>
    <m/>
    <m/>
  </r>
  <r>
    <n v="375"/>
    <x v="3"/>
    <n v="60"/>
    <n v="45"/>
    <n v="61"/>
    <n v="166"/>
    <n v="55.333333333333336"/>
    <x v="1"/>
    <x v="0"/>
    <s v="Below Avg"/>
    <n v="384"/>
    <s v="No"/>
    <m/>
    <m/>
    <m/>
    <m/>
  </r>
  <r>
    <n v="376"/>
    <x v="1"/>
    <n v="79"/>
    <n v="30"/>
    <n v="95"/>
    <n v="204"/>
    <n v="68"/>
    <x v="0"/>
    <x v="0"/>
    <s v="Above Avg"/>
    <n v="193"/>
    <s v="No"/>
    <m/>
    <m/>
    <m/>
    <m/>
  </r>
  <r>
    <n v="377"/>
    <x v="2"/>
    <n v="82"/>
    <n v="44"/>
    <n v="61"/>
    <n v="187"/>
    <n v="62.333333333333336"/>
    <x v="0"/>
    <x v="0"/>
    <s v="Below Avg"/>
    <n v="281"/>
    <s v="No"/>
    <m/>
    <m/>
    <m/>
    <m/>
  </r>
  <r>
    <n v="378"/>
    <x v="4"/>
    <n v="94"/>
    <n v="79"/>
    <n v="94"/>
    <n v="267"/>
    <n v="89"/>
    <x v="2"/>
    <x v="0"/>
    <s v="Above Avg"/>
    <n v="7"/>
    <s v="Yes"/>
    <m/>
    <m/>
    <m/>
    <m/>
  </r>
  <r>
    <n v="379"/>
    <x v="0"/>
    <n v="73"/>
    <n v="47"/>
    <n v="42"/>
    <n v="162"/>
    <n v="54"/>
    <x v="1"/>
    <x v="0"/>
    <s v="Below Avg"/>
    <n v="398"/>
    <s v="No"/>
    <m/>
    <m/>
    <m/>
    <m/>
  </r>
  <r>
    <n v="380"/>
    <x v="5"/>
    <n v="81"/>
    <n v="99"/>
    <n v="93"/>
    <n v="273"/>
    <n v="91"/>
    <x v="2"/>
    <x v="0"/>
    <s v="Above Avg"/>
    <n v="4"/>
    <s v="Yes"/>
    <m/>
    <m/>
    <m/>
    <m/>
  </r>
  <r>
    <n v="381"/>
    <x v="3"/>
    <n v="59"/>
    <n v="61"/>
    <n v="63"/>
    <n v="183"/>
    <n v="61"/>
    <x v="0"/>
    <x v="0"/>
    <s v="Below Avg"/>
    <n v="307"/>
    <s v="No"/>
    <m/>
    <m/>
    <m/>
    <m/>
  </r>
  <r>
    <n v="382"/>
    <x v="3"/>
    <n v="57"/>
    <n v="73"/>
    <n v="58"/>
    <n v="188"/>
    <n v="62.666666666666664"/>
    <x v="0"/>
    <x v="0"/>
    <s v="Below Avg"/>
    <n v="277"/>
    <s v="No"/>
    <m/>
    <m/>
    <m/>
    <m/>
  </r>
  <r>
    <n v="383"/>
    <x v="6"/>
    <n v="51"/>
    <n v="47"/>
    <n v="92"/>
    <n v="190"/>
    <n v="63.333333333333336"/>
    <x v="0"/>
    <x v="0"/>
    <s v="Below Avg"/>
    <n v="271"/>
    <s v="No"/>
    <m/>
    <m/>
    <m/>
    <m/>
  </r>
  <r>
    <n v="384"/>
    <x v="5"/>
    <n v="35"/>
    <n v="30"/>
    <n v="39"/>
    <n v="104"/>
    <n v="34.666666666666664"/>
    <x v="3"/>
    <x v="1"/>
    <s v="Below Avg"/>
    <n v="499"/>
    <s v="No"/>
    <m/>
    <m/>
    <m/>
    <m/>
  </r>
  <r>
    <n v="385"/>
    <x v="5"/>
    <n v="77"/>
    <n v="71"/>
    <n v="77"/>
    <n v="225"/>
    <n v="75"/>
    <x v="0"/>
    <x v="0"/>
    <s v="Above Avg"/>
    <n v="94"/>
    <s v="Yes"/>
    <m/>
    <m/>
    <m/>
    <m/>
  </r>
  <r>
    <n v="386"/>
    <x v="2"/>
    <n v="58"/>
    <n v="100"/>
    <n v="38"/>
    <n v="196"/>
    <n v="65.333333333333329"/>
    <x v="0"/>
    <x v="0"/>
    <s v="Above Avg"/>
    <n v="235"/>
    <s v="No"/>
    <m/>
    <m/>
    <m/>
    <m/>
  </r>
  <r>
    <n v="387"/>
    <x v="1"/>
    <n v="44"/>
    <n v="87"/>
    <n v="43"/>
    <n v="174"/>
    <n v="58"/>
    <x v="1"/>
    <x v="0"/>
    <s v="Below Avg"/>
    <n v="340"/>
    <s v="No"/>
    <m/>
    <m/>
    <m/>
    <m/>
  </r>
  <r>
    <n v="388"/>
    <x v="7"/>
    <n v="68"/>
    <n v="83"/>
    <n v="60"/>
    <n v="211"/>
    <n v="70.333333333333329"/>
    <x v="0"/>
    <x v="0"/>
    <s v="Above Avg"/>
    <n v="153"/>
    <s v="No"/>
    <m/>
    <m/>
    <m/>
    <m/>
  </r>
  <r>
    <n v="389"/>
    <x v="5"/>
    <n v="30"/>
    <n v="92"/>
    <n v="42"/>
    <n v="164"/>
    <n v="54.666666666666664"/>
    <x v="1"/>
    <x v="0"/>
    <s v="Below Avg"/>
    <n v="392"/>
    <s v="No"/>
    <m/>
    <m/>
    <m/>
    <m/>
  </r>
  <r>
    <n v="390"/>
    <x v="0"/>
    <n v="39"/>
    <n v="43"/>
    <n v="50"/>
    <n v="132"/>
    <n v="44"/>
    <x v="1"/>
    <x v="0"/>
    <s v="Below Avg"/>
    <n v="484"/>
    <s v="No"/>
    <m/>
    <m/>
    <m/>
    <m/>
  </r>
  <r>
    <n v="391"/>
    <x v="2"/>
    <n v="39"/>
    <n v="64"/>
    <n v="50"/>
    <n v="153"/>
    <n v="51"/>
    <x v="1"/>
    <x v="0"/>
    <s v="Below Avg"/>
    <n v="433"/>
    <s v="No"/>
    <m/>
    <m/>
    <m/>
    <m/>
  </r>
  <r>
    <n v="392"/>
    <x v="7"/>
    <n v="67"/>
    <n v="98"/>
    <n v="70"/>
    <n v="235"/>
    <n v="78.333333333333329"/>
    <x v="0"/>
    <x v="0"/>
    <s v="Above Avg"/>
    <n v="62"/>
    <s v="Yes"/>
    <m/>
    <m/>
    <m/>
    <m/>
  </r>
  <r>
    <n v="393"/>
    <x v="6"/>
    <n v="69"/>
    <n v="53"/>
    <n v="100"/>
    <n v="222"/>
    <n v="74"/>
    <x v="0"/>
    <x v="0"/>
    <s v="Above Avg"/>
    <n v="105"/>
    <s v="No"/>
    <m/>
    <m/>
    <m/>
    <m/>
  </r>
  <r>
    <n v="394"/>
    <x v="6"/>
    <n v="94"/>
    <n v="70"/>
    <n v="34"/>
    <n v="198"/>
    <n v="66"/>
    <x v="0"/>
    <x v="0"/>
    <s v="Above Avg"/>
    <n v="217"/>
    <s v="No"/>
    <m/>
    <m/>
    <m/>
    <m/>
  </r>
  <r>
    <n v="395"/>
    <x v="2"/>
    <n v="79"/>
    <n v="42"/>
    <n v="33"/>
    <n v="154"/>
    <n v="51.333333333333336"/>
    <x v="1"/>
    <x v="0"/>
    <s v="Below Avg"/>
    <n v="430"/>
    <s v="No"/>
    <m/>
    <m/>
    <m/>
    <m/>
  </r>
  <r>
    <n v="396"/>
    <x v="4"/>
    <n v="54"/>
    <n v="51"/>
    <n v="90"/>
    <n v="195"/>
    <n v="65"/>
    <x v="0"/>
    <x v="0"/>
    <s v="Above Avg"/>
    <n v="243"/>
    <s v="No"/>
    <m/>
    <m/>
    <m/>
    <m/>
  </r>
  <r>
    <n v="397"/>
    <x v="4"/>
    <n v="41"/>
    <n v="34"/>
    <n v="54"/>
    <n v="129"/>
    <n v="43"/>
    <x v="1"/>
    <x v="0"/>
    <s v="Below Avg"/>
    <n v="488"/>
    <s v="No"/>
    <m/>
    <m/>
    <m/>
    <m/>
  </r>
  <r>
    <n v="398"/>
    <x v="1"/>
    <n v="69"/>
    <n v="66"/>
    <n v="40"/>
    <n v="175"/>
    <n v="58.333333333333336"/>
    <x v="1"/>
    <x v="0"/>
    <s v="Below Avg"/>
    <n v="336"/>
    <s v="No"/>
    <m/>
    <m/>
    <m/>
    <m/>
  </r>
  <r>
    <n v="399"/>
    <x v="2"/>
    <n v="84"/>
    <n v="93"/>
    <n v="50"/>
    <n v="227"/>
    <n v="75.666666666666671"/>
    <x v="0"/>
    <x v="0"/>
    <s v="Above Avg"/>
    <n v="86"/>
    <s v="Yes"/>
    <m/>
    <m/>
    <m/>
    <m/>
  </r>
  <r>
    <n v="400"/>
    <x v="0"/>
    <n v="60"/>
    <n v="94"/>
    <n v="68"/>
    <n v="222"/>
    <n v="74"/>
    <x v="0"/>
    <x v="0"/>
    <s v="Above Avg"/>
    <n v="105"/>
    <s v="No"/>
    <m/>
    <m/>
    <m/>
    <m/>
  </r>
  <r>
    <n v="401"/>
    <x v="0"/>
    <n v="77"/>
    <n v="43"/>
    <n v="94"/>
    <n v="214"/>
    <n v="71.333333333333329"/>
    <x v="0"/>
    <x v="0"/>
    <s v="Above Avg"/>
    <n v="140"/>
    <s v="No"/>
    <m/>
    <m/>
    <m/>
    <m/>
  </r>
  <r>
    <n v="402"/>
    <x v="4"/>
    <n v="43"/>
    <n v="96"/>
    <n v="68"/>
    <n v="207"/>
    <n v="69"/>
    <x v="0"/>
    <x v="0"/>
    <s v="Above Avg"/>
    <n v="175"/>
    <s v="No"/>
    <m/>
    <m/>
    <m/>
    <m/>
  </r>
  <r>
    <n v="403"/>
    <x v="1"/>
    <n v="73"/>
    <n v="77"/>
    <n v="100"/>
    <n v="250"/>
    <n v="83.333333333333329"/>
    <x v="2"/>
    <x v="0"/>
    <s v="Above Avg"/>
    <n v="33"/>
    <s v="Yes"/>
    <m/>
    <m/>
    <m/>
    <m/>
  </r>
  <r>
    <n v="404"/>
    <x v="2"/>
    <n v="61"/>
    <n v="81"/>
    <n v="48"/>
    <n v="190"/>
    <n v="63.333333333333336"/>
    <x v="0"/>
    <x v="0"/>
    <s v="Below Avg"/>
    <n v="271"/>
    <s v="No"/>
    <m/>
    <m/>
    <m/>
    <m/>
  </r>
  <r>
    <n v="405"/>
    <x v="7"/>
    <n v="89"/>
    <n v="90"/>
    <n v="67"/>
    <n v="246"/>
    <n v="82"/>
    <x v="2"/>
    <x v="0"/>
    <s v="Above Avg"/>
    <n v="40"/>
    <s v="Yes"/>
    <m/>
    <m/>
    <m/>
    <m/>
  </r>
  <r>
    <n v="406"/>
    <x v="3"/>
    <n v="70"/>
    <n v="39"/>
    <n v="33"/>
    <n v="142"/>
    <n v="47.333333333333336"/>
    <x v="1"/>
    <x v="0"/>
    <s v="Below Avg"/>
    <n v="462"/>
    <s v="No"/>
    <m/>
    <m/>
    <m/>
    <m/>
  </r>
  <r>
    <n v="407"/>
    <x v="6"/>
    <n v="44"/>
    <n v="58"/>
    <n v="89"/>
    <n v="191"/>
    <n v="63.666666666666664"/>
    <x v="0"/>
    <x v="0"/>
    <s v="Below Avg"/>
    <n v="265"/>
    <s v="No"/>
    <m/>
    <m/>
    <m/>
    <m/>
  </r>
  <r>
    <n v="408"/>
    <x v="2"/>
    <n v="47"/>
    <n v="54"/>
    <n v="57"/>
    <n v="158"/>
    <n v="52.666666666666664"/>
    <x v="1"/>
    <x v="0"/>
    <s v="Below Avg"/>
    <n v="411"/>
    <s v="No"/>
    <m/>
    <m/>
    <m/>
    <m/>
  </r>
  <r>
    <n v="409"/>
    <x v="2"/>
    <n v="48"/>
    <n v="33"/>
    <n v="79"/>
    <n v="160"/>
    <n v="53.333333333333336"/>
    <x v="1"/>
    <x v="0"/>
    <s v="Below Avg"/>
    <n v="405"/>
    <s v="No"/>
    <m/>
    <m/>
    <m/>
    <m/>
  </r>
  <r>
    <n v="410"/>
    <x v="0"/>
    <n v="46"/>
    <n v="46"/>
    <n v="65"/>
    <n v="157"/>
    <n v="52.333333333333336"/>
    <x v="1"/>
    <x v="0"/>
    <s v="Below Avg"/>
    <n v="417"/>
    <s v="No"/>
    <m/>
    <m/>
    <m/>
    <m/>
  </r>
  <r>
    <n v="411"/>
    <x v="4"/>
    <n v="61"/>
    <n v="70"/>
    <n v="62"/>
    <n v="193"/>
    <n v="64.333333333333329"/>
    <x v="0"/>
    <x v="0"/>
    <s v="Below Avg"/>
    <n v="254"/>
    <s v="No"/>
    <m/>
    <m/>
    <m/>
    <m/>
  </r>
  <r>
    <n v="412"/>
    <x v="7"/>
    <n v="63"/>
    <n v="55"/>
    <n v="73"/>
    <n v="191"/>
    <n v="63.666666666666664"/>
    <x v="0"/>
    <x v="0"/>
    <s v="Below Avg"/>
    <n v="265"/>
    <s v="No"/>
    <m/>
    <m/>
    <m/>
    <m/>
  </r>
  <r>
    <n v="413"/>
    <x v="3"/>
    <n v="88"/>
    <n v="36"/>
    <n v="70"/>
    <n v="194"/>
    <n v="64.666666666666671"/>
    <x v="0"/>
    <x v="0"/>
    <s v="Above Avg"/>
    <n v="251"/>
    <s v="No"/>
    <m/>
    <m/>
    <m/>
    <m/>
  </r>
  <r>
    <n v="414"/>
    <x v="6"/>
    <n v="44"/>
    <n v="87"/>
    <n v="90"/>
    <n v="221"/>
    <n v="73.666666666666671"/>
    <x v="0"/>
    <x v="0"/>
    <s v="Above Avg"/>
    <n v="109"/>
    <s v="No"/>
    <m/>
    <m/>
    <m/>
    <m/>
  </r>
  <r>
    <n v="415"/>
    <x v="7"/>
    <n v="68"/>
    <n v="56"/>
    <n v="72"/>
    <n v="196"/>
    <n v="65.333333333333329"/>
    <x v="0"/>
    <x v="0"/>
    <s v="Above Avg"/>
    <n v="235"/>
    <s v="No"/>
    <m/>
    <m/>
    <m/>
    <m/>
  </r>
  <r>
    <n v="416"/>
    <x v="6"/>
    <n v="53"/>
    <n v="41"/>
    <n v="78"/>
    <n v="172"/>
    <n v="57.333333333333336"/>
    <x v="1"/>
    <x v="0"/>
    <s v="Below Avg"/>
    <n v="351"/>
    <s v="No"/>
    <m/>
    <m/>
    <m/>
    <m/>
  </r>
  <r>
    <n v="417"/>
    <x v="4"/>
    <n v="78"/>
    <n v="73"/>
    <n v="93"/>
    <n v="244"/>
    <n v="81.333333333333329"/>
    <x v="2"/>
    <x v="0"/>
    <s v="Above Avg"/>
    <n v="44"/>
    <s v="Yes"/>
    <m/>
    <m/>
    <m/>
    <m/>
  </r>
  <r>
    <n v="418"/>
    <x v="4"/>
    <n v="48"/>
    <n v="99"/>
    <n v="94"/>
    <n v="241"/>
    <n v="80.333333333333329"/>
    <x v="2"/>
    <x v="0"/>
    <s v="Above Avg"/>
    <n v="48"/>
    <s v="Yes"/>
    <m/>
    <m/>
    <m/>
    <m/>
  </r>
  <r>
    <n v="419"/>
    <x v="6"/>
    <n v="87"/>
    <n v="73"/>
    <n v="89"/>
    <n v="249"/>
    <n v="83"/>
    <x v="2"/>
    <x v="0"/>
    <s v="Above Avg"/>
    <n v="36"/>
    <s v="Yes"/>
    <m/>
    <m/>
    <m/>
    <m/>
  </r>
  <r>
    <n v="420"/>
    <x v="0"/>
    <n v="70"/>
    <n v="59"/>
    <n v="75"/>
    <n v="204"/>
    <n v="68"/>
    <x v="0"/>
    <x v="0"/>
    <s v="Above Avg"/>
    <n v="193"/>
    <s v="No"/>
    <m/>
    <m/>
    <m/>
    <m/>
  </r>
  <r>
    <n v="421"/>
    <x v="2"/>
    <n v="61"/>
    <n v="79"/>
    <n v="94"/>
    <n v="234"/>
    <n v="78"/>
    <x v="0"/>
    <x v="0"/>
    <s v="Above Avg"/>
    <n v="65"/>
    <s v="Yes"/>
    <m/>
    <m/>
    <m/>
    <m/>
  </r>
  <r>
    <n v="422"/>
    <x v="5"/>
    <n v="53"/>
    <n v="63"/>
    <n v="34"/>
    <n v="150"/>
    <n v="50"/>
    <x v="1"/>
    <x v="0"/>
    <s v="Below Avg"/>
    <n v="444"/>
    <s v="No"/>
    <m/>
    <m/>
    <m/>
    <m/>
  </r>
  <r>
    <n v="423"/>
    <x v="7"/>
    <n v="89"/>
    <n v="67"/>
    <n v="70"/>
    <n v="226"/>
    <n v="75.333333333333329"/>
    <x v="0"/>
    <x v="0"/>
    <s v="Above Avg"/>
    <n v="89"/>
    <s v="Yes"/>
    <m/>
    <m/>
    <m/>
    <m/>
  </r>
  <r>
    <n v="424"/>
    <x v="6"/>
    <n v="81"/>
    <n v="73"/>
    <n v="77"/>
    <n v="231"/>
    <n v="77"/>
    <x v="0"/>
    <x v="0"/>
    <s v="Above Avg"/>
    <n v="75"/>
    <s v="Yes"/>
    <m/>
    <m/>
    <m/>
    <m/>
  </r>
  <r>
    <n v="425"/>
    <x v="4"/>
    <n v="61"/>
    <n v="66"/>
    <n v="71"/>
    <n v="198"/>
    <n v="66"/>
    <x v="0"/>
    <x v="0"/>
    <s v="Above Avg"/>
    <n v="217"/>
    <s v="No"/>
    <m/>
    <m/>
    <m/>
    <m/>
  </r>
  <r>
    <n v="426"/>
    <x v="6"/>
    <n v="63"/>
    <n v="41"/>
    <n v="70"/>
    <n v="174"/>
    <n v="58"/>
    <x v="1"/>
    <x v="0"/>
    <s v="Below Avg"/>
    <n v="340"/>
    <s v="No"/>
    <m/>
    <m/>
    <m/>
    <m/>
  </r>
  <r>
    <n v="427"/>
    <x v="5"/>
    <n v="56"/>
    <n v="83"/>
    <n v="62"/>
    <n v="201"/>
    <n v="67"/>
    <x v="0"/>
    <x v="0"/>
    <s v="Above Avg"/>
    <n v="208"/>
    <s v="No"/>
    <m/>
    <m/>
    <m/>
    <m/>
  </r>
  <r>
    <n v="428"/>
    <x v="2"/>
    <n v="57"/>
    <n v="61"/>
    <n v="79"/>
    <n v="197"/>
    <n v="65.666666666666671"/>
    <x v="0"/>
    <x v="0"/>
    <s v="Above Avg"/>
    <n v="224"/>
    <s v="No"/>
    <m/>
    <m/>
    <m/>
    <m/>
  </r>
  <r>
    <n v="429"/>
    <x v="2"/>
    <n v="49"/>
    <n v="33"/>
    <n v="62"/>
    <n v="144"/>
    <n v="48"/>
    <x v="1"/>
    <x v="0"/>
    <s v="Below Avg"/>
    <n v="456"/>
    <s v="No"/>
    <m/>
    <m/>
    <m/>
    <m/>
  </r>
  <r>
    <n v="430"/>
    <x v="6"/>
    <n v="39"/>
    <n v="70"/>
    <n v="73"/>
    <n v="182"/>
    <n v="60.666666666666664"/>
    <x v="0"/>
    <x v="0"/>
    <s v="Below Avg"/>
    <n v="310"/>
    <s v="No"/>
    <m/>
    <m/>
    <m/>
    <m/>
  </r>
  <r>
    <n v="431"/>
    <x v="4"/>
    <n v="96"/>
    <n v="96"/>
    <n v="38"/>
    <n v="230"/>
    <n v="76.666666666666671"/>
    <x v="0"/>
    <x v="0"/>
    <s v="Above Avg"/>
    <n v="78"/>
    <s v="Yes"/>
    <m/>
    <m/>
    <m/>
    <m/>
  </r>
  <r>
    <n v="432"/>
    <x v="6"/>
    <n v="85"/>
    <n v="46"/>
    <n v="72"/>
    <n v="203"/>
    <n v="67.666666666666671"/>
    <x v="0"/>
    <x v="0"/>
    <s v="Above Avg"/>
    <n v="195"/>
    <s v="No"/>
    <m/>
    <m/>
    <m/>
    <m/>
  </r>
  <r>
    <n v="433"/>
    <x v="5"/>
    <n v="54"/>
    <n v="37"/>
    <n v="51"/>
    <n v="142"/>
    <n v="47.333333333333336"/>
    <x v="1"/>
    <x v="0"/>
    <s v="Below Avg"/>
    <n v="462"/>
    <s v="No"/>
    <m/>
    <m/>
    <m/>
    <m/>
  </r>
  <r>
    <n v="434"/>
    <x v="4"/>
    <n v="56"/>
    <n v="86"/>
    <n v="67"/>
    <n v="209"/>
    <n v="69.666666666666671"/>
    <x v="0"/>
    <x v="0"/>
    <s v="Above Avg"/>
    <n v="164"/>
    <s v="No"/>
    <m/>
    <m/>
    <m/>
    <m/>
  </r>
  <r>
    <n v="435"/>
    <x v="1"/>
    <n v="38"/>
    <n v="51"/>
    <n v="68"/>
    <n v="157"/>
    <n v="52.333333333333336"/>
    <x v="1"/>
    <x v="0"/>
    <s v="Below Avg"/>
    <n v="417"/>
    <s v="No"/>
    <m/>
    <m/>
    <m/>
    <m/>
  </r>
  <r>
    <n v="436"/>
    <x v="4"/>
    <n v="32"/>
    <n v="92"/>
    <n v="89"/>
    <n v="213"/>
    <n v="71"/>
    <x v="0"/>
    <x v="0"/>
    <s v="Above Avg"/>
    <n v="144"/>
    <s v="No"/>
    <m/>
    <m/>
    <m/>
    <m/>
  </r>
  <r>
    <n v="437"/>
    <x v="1"/>
    <n v="57"/>
    <n v="35"/>
    <n v="61"/>
    <n v="153"/>
    <n v="51"/>
    <x v="1"/>
    <x v="0"/>
    <s v="Below Avg"/>
    <n v="433"/>
    <s v="No"/>
    <m/>
    <m/>
    <m/>
    <m/>
  </r>
  <r>
    <n v="438"/>
    <x v="0"/>
    <n v="77"/>
    <n v="97"/>
    <n v="43"/>
    <n v="217"/>
    <n v="72.333333333333329"/>
    <x v="0"/>
    <x v="0"/>
    <s v="Above Avg"/>
    <n v="125"/>
    <s v="No"/>
    <m/>
    <m/>
    <m/>
    <m/>
  </r>
  <r>
    <n v="439"/>
    <x v="4"/>
    <n v="52"/>
    <n v="100"/>
    <n v="83"/>
    <n v="235"/>
    <n v="78.333333333333329"/>
    <x v="0"/>
    <x v="0"/>
    <s v="Above Avg"/>
    <n v="62"/>
    <s v="Yes"/>
    <m/>
    <m/>
    <m/>
    <m/>
  </r>
  <r>
    <n v="440"/>
    <x v="5"/>
    <n v="48"/>
    <n v="51"/>
    <n v="65"/>
    <n v="164"/>
    <n v="54.666666666666664"/>
    <x v="1"/>
    <x v="0"/>
    <s v="Below Avg"/>
    <n v="392"/>
    <s v="No"/>
    <m/>
    <m/>
    <m/>
    <m/>
  </r>
  <r>
    <n v="441"/>
    <x v="2"/>
    <n v="76"/>
    <n v="94"/>
    <n v="39"/>
    <n v="209"/>
    <n v="69.666666666666671"/>
    <x v="0"/>
    <x v="0"/>
    <s v="Above Avg"/>
    <n v="164"/>
    <s v="No"/>
    <m/>
    <m/>
    <m/>
    <m/>
  </r>
  <r>
    <n v="442"/>
    <x v="1"/>
    <n v="70"/>
    <n v="99"/>
    <n v="85"/>
    <n v="254"/>
    <n v="84.666666666666671"/>
    <x v="2"/>
    <x v="0"/>
    <s v="Above Avg"/>
    <n v="25"/>
    <s v="Yes"/>
    <m/>
    <m/>
    <m/>
    <m/>
  </r>
  <r>
    <n v="443"/>
    <x v="6"/>
    <n v="81"/>
    <n v="53"/>
    <n v="97"/>
    <n v="231"/>
    <n v="77"/>
    <x v="0"/>
    <x v="0"/>
    <s v="Above Avg"/>
    <n v="75"/>
    <s v="Yes"/>
    <m/>
    <m/>
    <m/>
    <m/>
  </r>
  <r>
    <n v="444"/>
    <x v="3"/>
    <n v="69"/>
    <n v="81"/>
    <n v="41"/>
    <n v="191"/>
    <n v="63.666666666666664"/>
    <x v="0"/>
    <x v="0"/>
    <s v="Below Avg"/>
    <n v="265"/>
    <s v="No"/>
    <m/>
    <m/>
    <m/>
    <m/>
  </r>
  <r>
    <n v="445"/>
    <x v="3"/>
    <n v="96"/>
    <n v="45"/>
    <n v="97"/>
    <n v="238"/>
    <n v="79.333333333333329"/>
    <x v="0"/>
    <x v="0"/>
    <s v="Above Avg"/>
    <n v="53"/>
    <s v="Yes"/>
    <m/>
    <m/>
    <m/>
    <m/>
  </r>
  <r>
    <n v="446"/>
    <x v="3"/>
    <n v="88"/>
    <n v="70"/>
    <n v="36"/>
    <n v="194"/>
    <n v="64.666666666666671"/>
    <x v="0"/>
    <x v="0"/>
    <s v="Above Avg"/>
    <n v="251"/>
    <s v="No"/>
    <m/>
    <m/>
    <m/>
    <m/>
  </r>
  <r>
    <n v="447"/>
    <x v="4"/>
    <n v="45"/>
    <n v="42"/>
    <n v="39"/>
    <n v="126"/>
    <n v="42"/>
    <x v="1"/>
    <x v="0"/>
    <s v="Below Avg"/>
    <n v="490"/>
    <s v="No"/>
    <m/>
    <m/>
    <m/>
    <m/>
  </r>
  <r>
    <n v="448"/>
    <x v="0"/>
    <n v="79"/>
    <n v="87"/>
    <n v="93"/>
    <n v="259"/>
    <n v="86.333333333333329"/>
    <x v="2"/>
    <x v="0"/>
    <s v="Above Avg"/>
    <n v="19"/>
    <s v="Yes"/>
    <m/>
    <m/>
    <m/>
    <m/>
  </r>
  <r>
    <n v="449"/>
    <x v="7"/>
    <n v="46"/>
    <n v="41"/>
    <n v="75"/>
    <n v="162"/>
    <n v="54"/>
    <x v="1"/>
    <x v="0"/>
    <s v="Below Avg"/>
    <n v="398"/>
    <s v="No"/>
    <m/>
    <m/>
    <m/>
    <m/>
  </r>
  <r>
    <n v="450"/>
    <x v="6"/>
    <n v="37"/>
    <n v="66"/>
    <n v="100"/>
    <n v="203"/>
    <n v="67.666666666666671"/>
    <x v="0"/>
    <x v="0"/>
    <s v="Above Avg"/>
    <n v="195"/>
    <s v="No"/>
    <m/>
    <m/>
    <m/>
    <m/>
  </r>
  <r>
    <n v="451"/>
    <x v="0"/>
    <n v="89"/>
    <n v="86"/>
    <n v="61"/>
    <n v="236"/>
    <n v="78.666666666666671"/>
    <x v="0"/>
    <x v="0"/>
    <s v="Above Avg"/>
    <n v="59"/>
    <s v="Yes"/>
    <m/>
    <m/>
    <m/>
    <m/>
  </r>
  <r>
    <n v="452"/>
    <x v="0"/>
    <n v="53"/>
    <n v="66"/>
    <n v="98"/>
    <n v="217"/>
    <n v="72.333333333333329"/>
    <x v="0"/>
    <x v="0"/>
    <s v="Above Avg"/>
    <n v="125"/>
    <s v="No"/>
    <m/>
    <m/>
    <m/>
    <m/>
  </r>
  <r>
    <n v="453"/>
    <x v="4"/>
    <n v="96"/>
    <n v="33"/>
    <n v="43"/>
    <n v="172"/>
    <n v="57.333333333333336"/>
    <x v="1"/>
    <x v="0"/>
    <s v="Below Avg"/>
    <n v="351"/>
    <s v="No"/>
    <m/>
    <m/>
    <m/>
    <m/>
  </r>
  <r>
    <n v="454"/>
    <x v="3"/>
    <n v="36"/>
    <n v="50"/>
    <n v="81"/>
    <n v="167"/>
    <n v="55.666666666666664"/>
    <x v="1"/>
    <x v="0"/>
    <s v="Below Avg"/>
    <n v="378"/>
    <s v="No"/>
    <m/>
    <m/>
    <m/>
    <m/>
  </r>
  <r>
    <n v="455"/>
    <x v="3"/>
    <n v="54"/>
    <n v="56"/>
    <n v="41"/>
    <n v="151"/>
    <n v="50.333333333333336"/>
    <x v="1"/>
    <x v="0"/>
    <s v="Below Avg"/>
    <n v="443"/>
    <s v="No"/>
    <m/>
    <m/>
    <m/>
    <m/>
  </r>
  <r>
    <n v="456"/>
    <x v="2"/>
    <n v="81"/>
    <n v="81"/>
    <n v="94"/>
    <n v="256"/>
    <n v="85.333333333333329"/>
    <x v="2"/>
    <x v="0"/>
    <s v="Above Avg"/>
    <n v="21"/>
    <s v="Yes"/>
    <m/>
    <m/>
    <m/>
    <m/>
  </r>
  <r>
    <n v="457"/>
    <x v="0"/>
    <n v="88"/>
    <n v="68"/>
    <n v="64"/>
    <n v="220"/>
    <n v="73.333333333333329"/>
    <x v="0"/>
    <x v="0"/>
    <s v="Above Avg"/>
    <n v="113"/>
    <s v="No"/>
    <m/>
    <m/>
    <m/>
    <m/>
  </r>
  <r>
    <n v="458"/>
    <x v="7"/>
    <n v="54"/>
    <n v="60"/>
    <n v="31"/>
    <n v="145"/>
    <n v="48.333333333333336"/>
    <x v="1"/>
    <x v="0"/>
    <s v="Below Avg"/>
    <n v="454"/>
    <s v="No"/>
    <m/>
    <m/>
    <m/>
    <m/>
  </r>
  <r>
    <n v="459"/>
    <x v="4"/>
    <n v="73"/>
    <n v="65"/>
    <n v="54"/>
    <n v="192"/>
    <n v="64"/>
    <x v="0"/>
    <x v="0"/>
    <s v="Below Avg"/>
    <n v="259"/>
    <s v="No"/>
    <m/>
    <m/>
    <m/>
    <m/>
  </r>
  <r>
    <n v="460"/>
    <x v="1"/>
    <n v="90"/>
    <n v="70"/>
    <n v="43"/>
    <n v="203"/>
    <n v="67.666666666666671"/>
    <x v="0"/>
    <x v="0"/>
    <s v="Above Avg"/>
    <n v="195"/>
    <s v="No"/>
    <m/>
    <m/>
    <m/>
    <m/>
  </r>
  <r>
    <n v="461"/>
    <x v="5"/>
    <n v="48"/>
    <n v="60"/>
    <n v="99"/>
    <n v="207"/>
    <n v="69"/>
    <x v="0"/>
    <x v="0"/>
    <s v="Above Avg"/>
    <n v="175"/>
    <s v="No"/>
    <m/>
    <m/>
    <m/>
    <m/>
  </r>
  <r>
    <n v="462"/>
    <x v="3"/>
    <n v="31"/>
    <n v="65"/>
    <n v="82"/>
    <n v="178"/>
    <n v="59.333333333333336"/>
    <x v="1"/>
    <x v="0"/>
    <s v="Below Avg"/>
    <n v="326"/>
    <s v="No"/>
    <m/>
    <m/>
    <m/>
    <m/>
  </r>
  <r>
    <n v="463"/>
    <x v="6"/>
    <n v="44"/>
    <n v="77"/>
    <n v="85"/>
    <n v="206"/>
    <n v="68.666666666666671"/>
    <x v="0"/>
    <x v="0"/>
    <s v="Above Avg"/>
    <n v="180"/>
    <s v="No"/>
    <m/>
    <m/>
    <m/>
    <m/>
  </r>
  <r>
    <n v="464"/>
    <x v="2"/>
    <n v="96"/>
    <n v="53"/>
    <n v="77"/>
    <n v="226"/>
    <n v="75.333333333333329"/>
    <x v="0"/>
    <x v="0"/>
    <s v="Above Avg"/>
    <n v="89"/>
    <s v="Yes"/>
    <m/>
    <m/>
    <m/>
    <m/>
  </r>
  <r>
    <n v="465"/>
    <x v="5"/>
    <n v="60"/>
    <n v="77"/>
    <n v="97"/>
    <n v="234"/>
    <n v="78"/>
    <x v="0"/>
    <x v="0"/>
    <s v="Above Avg"/>
    <n v="65"/>
    <s v="Yes"/>
    <m/>
    <m/>
    <m/>
    <m/>
  </r>
  <r>
    <n v="466"/>
    <x v="4"/>
    <n v="36"/>
    <n v="77"/>
    <n v="39"/>
    <n v="152"/>
    <n v="50.666666666666664"/>
    <x v="1"/>
    <x v="0"/>
    <s v="Below Avg"/>
    <n v="440"/>
    <s v="No"/>
    <m/>
    <m/>
    <m/>
    <m/>
  </r>
  <r>
    <n v="467"/>
    <x v="7"/>
    <n v="56"/>
    <n v="95"/>
    <n v="65"/>
    <n v="216"/>
    <n v="72"/>
    <x v="0"/>
    <x v="0"/>
    <s v="Above Avg"/>
    <n v="130"/>
    <s v="No"/>
    <m/>
    <m/>
    <m/>
    <m/>
  </r>
  <r>
    <n v="468"/>
    <x v="3"/>
    <n v="72"/>
    <n v="93"/>
    <n v="38"/>
    <n v="203"/>
    <n v="67.666666666666671"/>
    <x v="0"/>
    <x v="0"/>
    <s v="Above Avg"/>
    <n v="195"/>
    <s v="No"/>
    <m/>
    <m/>
    <m/>
    <m/>
  </r>
  <r>
    <n v="469"/>
    <x v="6"/>
    <n v="100"/>
    <n v="38"/>
    <n v="97"/>
    <n v="235"/>
    <n v="78.333333333333329"/>
    <x v="0"/>
    <x v="0"/>
    <s v="Above Avg"/>
    <n v="62"/>
    <s v="Yes"/>
    <m/>
    <m/>
    <m/>
    <m/>
  </r>
  <r>
    <n v="470"/>
    <x v="5"/>
    <n v="99"/>
    <n v="43"/>
    <n v="70"/>
    <n v="212"/>
    <n v="70.666666666666671"/>
    <x v="0"/>
    <x v="0"/>
    <s v="Above Avg"/>
    <n v="149"/>
    <s v="No"/>
    <m/>
    <m/>
    <m/>
    <m/>
  </r>
  <r>
    <n v="471"/>
    <x v="6"/>
    <n v="88"/>
    <n v="67"/>
    <n v="74"/>
    <n v="229"/>
    <n v="76.333333333333329"/>
    <x v="0"/>
    <x v="0"/>
    <s v="Above Avg"/>
    <n v="82"/>
    <s v="Yes"/>
    <m/>
    <m/>
    <m/>
    <m/>
  </r>
  <r>
    <n v="472"/>
    <x v="4"/>
    <n v="86"/>
    <n v="39"/>
    <n v="41"/>
    <n v="166"/>
    <n v="55.333333333333336"/>
    <x v="1"/>
    <x v="0"/>
    <s v="Below Avg"/>
    <n v="384"/>
    <s v="No"/>
    <m/>
    <m/>
    <m/>
    <m/>
  </r>
  <r>
    <n v="473"/>
    <x v="1"/>
    <n v="57"/>
    <n v="62"/>
    <n v="58"/>
    <n v="177"/>
    <n v="59"/>
    <x v="1"/>
    <x v="0"/>
    <s v="Below Avg"/>
    <n v="329"/>
    <s v="No"/>
    <m/>
    <m/>
    <m/>
    <m/>
  </r>
  <r>
    <n v="474"/>
    <x v="6"/>
    <n v="70"/>
    <n v="33"/>
    <n v="67"/>
    <n v="170"/>
    <n v="56.666666666666664"/>
    <x v="1"/>
    <x v="0"/>
    <s v="Below Avg"/>
    <n v="364"/>
    <s v="No"/>
    <m/>
    <m/>
    <m/>
    <m/>
  </r>
  <r>
    <n v="475"/>
    <x v="1"/>
    <n v="32"/>
    <n v="92"/>
    <n v="52"/>
    <n v="176"/>
    <n v="58.666666666666664"/>
    <x v="1"/>
    <x v="0"/>
    <s v="Below Avg"/>
    <n v="334"/>
    <s v="No"/>
    <m/>
    <m/>
    <m/>
    <m/>
  </r>
  <r>
    <n v="476"/>
    <x v="1"/>
    <n v="72"/>
    <n v="33"/>
    <n v="77"/>
    <n v="182"/>
    <n v="60.666666666666664"/>
    <x v="0"/>
    <x v="0"/>
    <s v="Below Avg"/>
    <n v="310"/>
    <s v="No"/>
    <m/>
    <m/>
    <m/>
    <m/>
  </r>
  <r>
    <n v="477"/>
    <x v="1"/>
    <n v="72"/>
    <n v="94"/>
    <n v="55"/>
    <n v="221"/>
    <n v="73.666666666666671"/>
    <x v="0"/>
    <x v="0"/>
    <s v="Above Avg"/>
    <n v="109"/>
    <s v="No"/>
    <m/>
    <m/>
    <m/>
    <m/>
  </r>
  <r>
    <n v="478"/>
    <x v="6"/>
    <n v="54"/>
    <n v="76"/>
    <n v="52"/>
    <n v="182"/>
    <n v="60.666666666666664"/>
    <x v="0"/>
    <x v="0"/>
    <s v="Below Avg"/>
    <n v="310"/>
    <s v="No"/>
    <m/>
    <m/>
    <m/>
    <m/>
  </r>
  <r>
    <n v="479"/>
    <x v="4"/>
    <n v="41"/>
    <n v="51"/>
    <n v="81"/>
    <n v="173"/>
    <n v="57.666666666666664"/>
    <x v="1"/>
    <x v="0"/>
    <s v="Below Avg"/>
    <n v="346"/>
    <s v="No"/>
    <m/>
    <m/>
    <m/>
    <m/>
  </r>
  <r>
    <n v="480"/>
    <x v="5"/>
    <n v="41"/>
    <n v="90"/>
    <n v="42"/>
    <n v="173"/>
    <n v="57.666666666666664"/>
    <x v="1"/>
    <x v="0"/>
    <s v="Below Avg"/>
    <n v="346"/>
    <s v="No"/>
    <m/>
    <m/>
    <m/>
    <m/>
  </r>
  <r>
    <n v="481"/>
    <x v="7"/>
    <n v="33"/>
    <n v="57"/>
    <n v="43"/>
    <n v="133"/>
    <n v="44.333333333333336"/>
    <x v="1"/>
    <x v="0"/>
    <s v="Below Avg"/>
    <n v="480"/>
    <s v="No"/>
    <m/>
    <m/>
    <m/>
    <m/>
  </r>
  <r>
    <n v="482"/>
    <x v="0"/>
    <n v="30"/>
    <n v="32"/>
    <n v="62"/>
    <n v="124"/>
    <n v="41.333333333333336"/>
    <x v="1"/>
    <x v="0"/>
    <s v="Below Avg"/>
    <n v="493"/>
    <s v="No"/>
    <m/>
    <m/>
    <m/>
    <m/>
  </r>
  <r>
    <n v="483"/>
    <x v="5"/>
    <n v="50"/>
    <n v="63"/>
    <n v="36"/>
    <n v="149"/>
    <n v="49.666666666666664"/>
    <x v="1"/>
    <x v="0"/>
    <s v="Below Avg"/>
    <n v="446"/>
    <s v="No"/>
    <m/>
    <m/>
    <m/>
    <m/>
  </r>
  <r>
    <n v="484"/>
    <x v="1"/>
    <n v="38"/>
    <n v="55"/>
    <n v="40"/>
    <n v="133"/>
    <n v="44.333333333333336"/>
    <x v="1"/>
    <x v="0"/>
    <s v="Below Avg"/>
    <n v="480"/>
    <s v="No"/>
    <m/>
    <m/>
    <m/>
    <m/>
  </r>
  <r>
    <n v="485"/>
    <x v="7"/>
    <n v="34"/>
    <n v="96"/>
    <n v="55"/>
    <n v="185"/>
    <n v="61.666666666666664"/>
    <x v="0"/>
    <x v="0"/>
    <s v="Below Avg"/>
    <n v="292"/>
    <s v="No"/>
    <m/>
    <m/>
    <m/>
    <m/>
  </r>
  <r>
    <n v="486"/>
    <x v="3"/>
    <n v="37"/>
    <n v="65"/>
    <n v="69"/>
    <n v="171"/>
    <n v="57"/>
    <x v="1"/>
    <x v="0"/>
    <s v="Below Avg"/>
    <n v="360"/>
    <s v="No"/>
    <m/>
    <m/>
    <m/>
    <m/>
  </r>
  <r>
    <n v="487"/>
    <x v="2"/>
    <n v="42"/>
    <n v="76"/>
    <n v="49"/>
    <n v="167"/>
    <n v="55.666666666666664"/>
    <x v="1"/>
    <x v="0"/>
    <s v="Below Avg"/>
    <n v="378"/>
    <s v="No"/>
    <m/>
    <m/>
    <m/>
    <m/>
  </r>
  <r>
    <n v="488"/>
    <x v="1"/>
    <n v="33"/>
    <n v="57"/>
    <n v="41"/>
    <n v="131"/>
    <n v="43.666666666666664"/>
    <x v="1"/>
    <x v="0"/>
    <s v="Below Avg"/>
    <n v="486"/>
    <s v="No"/>
    <m/>
    <m/>
    <m/>
    <m/>
  </r>
  <r>
    <n v="489"/>
    <x v="5"/>
    <n v="34"/>
    <n v="72"/>
    <n v="66"/>
    <n v="172"/>
    <n v="57.333333333333336"/>
    <x v="1"/>
    <x v="0"/>
    <s v="Below Avg"/>
    <n v="351"/>
    <s v="No"/>
    <m/>
    <m/>
    <m/>
    <m/>
  </r>
  <r>
    <n v="490"/>
    <x v="6"/>
    <n v="47"/>
    <n v="51"/>
    <n v="45"/>
    <n v="143"/>
    <n v="47.666666666666664"/>
    <x v="1"/>
    <x v="0"/>
    <s v="Below Avg"/>
    <n v="458"/>
    <s v="No"/>
    <m/>
    <m/>
    <m/>
    <m/>
  </r>
  <r>
    <n v="491"/>
    <x v="2"/>
    <n v="42"/>
    <n v="69"/>
    <n v="35"/>
    <n v="146"/>
    <n v="48.666666666666664"/>
    <x v="1"/>
    <x v="0"/>
    <s v="Below Avg"/>
    <n v="452"/>
    <s v="No"/>
    <m/>
    <m/>
    <m/>
    <m/>
  </r>
  <r>
    <n v="492"/>
    <x v="6"/>
    <n v="41"/>
    <n v="91"/>
    <n v="33"/>
    <n v="165"/>
    <n v="55"/>
    <x v="1"/>
    <x v="0"/>
    <s v="Below Avg"/>
    <n v="389"/>
    <s v="No"/>
    <m/>
    <m/>
    <m/>
    <m/>
  </r>
  <r>
    <n v="493"/>
    <x v="0"/>
    <n v="73"/>
    <n v="46"/>
    <n v="90"/>
    <n v="209"/>
    <n v="69.666666666666671"/>
    <x v="0"/>
    <x v="0"/>
    <s v="Above Avg"/>
    <n v="164"/>
    <s v="No"/>
    <m/>
    <m/>
    <m/>
    <m/>
  </r>
  <r>
    <n v="494"/>
    <x v="6"/>
    <n v="98"/>
    <n v="56"/>
    <n v="37"/>
    <n v="191"/>
    <n v="63.666666666666664"/>
    <x v="0"/>
    <x v="0"/>
    <s v="Below Avg"/>
    <n v="265"/>
    <s v="No"/>
    <m/>
    <m/>
    <m/>
    <m/>
  </r>
  <r>
    <n v="495"/>
    <x v="7"/>
    <n v="66"/>
    <n v="78"/>
    <n v="84"/>
    <n v="228"/>
    <n v="76"/>
    <x v="0"/>
    <x v="0"/>
    <s v="Above Avg"/>
    <n v="84"/>
    <s v="Yes"/>
    <m/>
    <m/>
    <m/>
    <m/>
  </r>
  <r>
    <n v="496"/>
    <x v="2"/>
    <n v="68"/>
    <n v="87"/>
    <n v="53"/>
    <n v="208"/>
    <n v="69.333333333333329"/>
    <x v="0"/>
    <x v="0"/>
    <s v="Above Avg"/>
    <n v="172"/>
    <s v="No"/>
    <m/>
    <m/>
    <m/>
    <m/>
  </r>
  <r>
    <n v="497"/>
    <x v="3"/>
    <n v="33"/>
    <n v="76"/>
    <n v="32"/>
    <n v="141"/>
    <n v="47"/>
    <x v="1"/>
    <x v="0"/>
    <s v="Below Avg"/>
    <n v="465"/>
    <s v="No"/>
    <m/>
    <m/>
    <m/>
    <m/>
  </r>
  <r>
    <n v="498"/>
    <x v="7"/>
    <n v="62"/>
    <n v="92"/>
    <n v="95"/>
    <n v="249"/>
    <n v="83"/>
    <x v="2"/>
    <x v="0"/>
    <s v="Above Avg"/>
    <n v="36"/>
    <s v="Yes"/>
    <m/>
    <m/>
    <m/>
    <m/>
  </r>
  <r>
    <n v="499"/>
    <x v="3"/>
    <n v="46"/>
    <n v="51"/>
    <n v="64"/>
    <n v="161"/>
    <n v="53.666666666666664"/>
    <x v="1"/>
    <x v="0"/>
    <s v="Below Avg"/>
    <n v="403"/>
    <s v="No"/>
    <m/>
    <m/>
    <m/>
    <m/>
  </r>
  <r>
    <n v="500"/>
    <x v="0"/>
    <n v="74"/>
    <n v="95"/>
    <n v="50"/>
    <n v="219"/>
    <n v="73"/>
    <x v="0"/>
    <x v="0"/>
    <s v="Above Avg"/>
    <n v="115"/>
    <s v="No"/>
    <m/>
    <m/>
    <m/>
    <m/>
  </r>
  <r>
    <n v="501"/>
    <x v="4"/>
    <n v="52"/>
    <n v="90"/>
    <n v="83"/>
    <n v="225"/>
    <n v="75"/>
    <x v="0"/>
    <x v="0"/>
    <s v="Above Avg"/>
    <n v="94"/>
    <s v="Yes"/>
    <m/>
    <m/>
    <m/>
    <m/>
  </r>
  <r>
    <n v="502"/>
    <x v="2"/>
    <n v="47"/>
    <n v="59"/>
    <n v="58"/>
    <n v="164"/>
    <n v="54.666666666666664"/>
    <x v="1"/>
    <x v="0"/>
    <s v="Below Avg"/>
    <n v="392"/>
    <s v="No"/>
    <m/>
    <m/>
    <m/>
    <m/>
  </r>
  <r>
    <n v="503"/>
    <x v="0"/>
    <n v="51"/>
    <n v="90"/>
    <n v="56"/>
    <n v="197"/>
    <n v="65.666666666666671"/>
    <x v="0"/>
    <x v="0"/>
    <s v="Above Avg"/>
    <n v="224"/>
    <s v="No"/>
    <m/>
    <m/>
    <m/>
    <m/>
  </r>
  <r>
    <n v="504"/>
    <x v="7"/>
    <n v="58"/>
    <n v="48"/>
    <n v="89"/>
    <n v="195"/>
    <n v="65"/>
    <x v="0"/>
    <x v="0"/>
    <s v="Above Avg"/>
    <n v="243"/>
    <s v="No"/>
    <m/>
    <m/>
    <m/>
    <m/>
  </r>
  <r>
    <n v="505"/>
    <x v="7"/>
    <n v="52"/>
    <n v="56"/>
    <n v="41"/>
    <n v="149"/>
    <n v="49.666666666666664"/>
    <x v="1"/>
    <x v="0"/>
    <s v="Below Avg"/>
    <n v="446"/>
    <s v="No"/>
    <m/>
    <m/>
    <m/>
    <m/>
  </r>
  <r>
    <n v="506"/>
    <x v="6"/>
    <n v="100"/>
    <n v="96"/>
    <n v="77"/>
    <n v="273"/>
    <n v="91"/>
    <x v="2"/>
    <x v="0"/>
    <s v="Above Avg"/>
    <n v="4"/>
    <s v="Yes"/>
    <m/>
    <m/>
    <m/>
    <m/>
  </r>
  <r>
    <n v="507"/>
    <x v="4"/>
    <n v="74"/>
    <n v="48"/>
    <n v="36"/>
    <n v="158"/>
    <n v="52.666666666666664"/>
    <x v="1"/>
    <x v="0"/>
    <s v="Below Avg"/>
    <n v="411"/>
    <s v="No"/>
    <m/>
    <m/>
    <m/>
    <m/>
  </r>
  <r>
    <n v="508"/>
    <x v="1"/>
    <n v="30"/>
    <n v="62"/>
    <n v="81"/>
    <n v="173"/>
    <n v="57.666666666666664"/>
    <x v="1"/>
    <x v="0"/>
    <s v="Below Avg"/>
    <n v="346"/>
    <s v="No"/>
    <m/>
    <m/>
    <m/>
    <m/>
  </r>
  <r>
    <n v="509"/>
    <x v="0"/>
    <n v="54"/>
    <n v="95"/>
    <n v="52"/>
    <n v="201"/>
    <n v="67"/>
    <x v="0"/>
    <x v="0"/>
    <s v="Above Avg"/>
    <n v="208"/>
    <s v="No"/>
    <m/>
    <m/>
    <m/>
    <m/>
  </r>
  <r>
    <n v="510"/>
    <x v="3"/>
    <n v="59"/>
    <n v="48"/>
    <n v="31"/>
    <n v="138"/>
    <n v="46"/>
    <x v="1"/>
    <x v="0"/>
    <s v="Below Avg"/>
    <n v="472"/>
    <s v="No"/>
    <m/>
    <m/>
    <m/>
    <m/>
  </r>
  <r>
    <n v="511"/>
    <x v="0"/>
    <n v="94"/>
    <n v="82"/>
    <n v="44"/>
    <n v="220"/>
    <n v="73.333333333333329"/>
    <x v="0"/>
    <x v="0"/>
    <s v="Above Avg"/>
    <n v="113"/>
    <s v="No"/>
    <m/>
    <m/>
    <m/>
    <m/>
  </r>
  <r>
    <n v="512"/>
    <x v="5"/>
    <n v="60"/>
    <n v="70"/>
    <n v="79"/>
    <n v="209"/>
    <n v="69.666666666666671"/>
    <x v="0"/>
    <x v="0"/>
    <s v="Above Avg"/>
    <n v="164"/>
    <s v="No"/>
    <m/>
    <m/>
    <m/>
    <m/>
  </r>
  <r>
    <n v="513"/>
    <x v="4"/>
    <n v="91"/>
    <n v="48"/>
    <n v="99"/>
    <n v="238"/>
    <n v="79.333333333333329"/>
    <x v="0"/>
    <x v="0"/>
    <s v="Above Avg"/>
    <n v="53"/>
    <s v="Yes"/>
    <m/>
    <m/>
    <m/>
    <m/>
  </r>
  <r>
    <n v="514"/>
    <x v="6"/>
    <n v="57"/>
    <n v="100"/>
    <n v="99"/>
    <n v="256"/>
    <n v="85.333333333333329"/>
    <x v="2"/>
    <x v="0"/>
    <s v="Above Avg"/>
    <n v="21"/>
    <s v="Yes"/>
    <m/>
    <m/>
    <m/>
    <m/>
  </r>
  <r>
    <n v="515"/>
    <x v="7"/>
    <n v="96"/>
    <n v="60"/>
    <n v="92"/>
    <n v="248"/>
    <n v="82.666666666666671"/>
    <x v="2"/>
    <x v="0"/>
    <s v="Above Avg"/>
    <n v="38"/>
    <s v="Yes"/>
    <m/>
    <m/>
    <m/>
    <m/>
  </r>
  <r>
    <n v="516"/>
    <x v="6"/>
    <n v="77"/>
    <n v="58"/>
    <n v="86"/>
    <n v="221"/>
    <n v="73.666666666666671"/>
    <x v="0"/>
    <x v="0"/>
    <s v="Above Avg"/>
    <n v="109"/>
    <s v="No"/>
    <m/>
    <m/>
    <m/>
    <m/>
  </r>
  <r>
    <n v="517"/>
    <x v="4"/>
    <n v="70"/>
    <n v="32"/>
    <n v="60"/>
    <n v="162"/>
    <n v="54"/>
    <x v="1"/>
    <x v="0"/>
    <s v="Below Avg"/>
    <n v="398"/>
    <s v="No"/>
    <m/>
    <m/>
    <m/>
    <m/>
  </r>
  <r>
    <n v="518"/>
    <x v="3"/>
    <n v="100"/>
    <n v="91"/>
    <n v="75"/>
    <n v="266"/>
    <n v="88.666666666666671"/>
    <x v="2"/>
    <x v="0"/>
    <s v="Above Avg"/>
    <n v="8"/>
    <s v="Yes"/>
    <m/>
    <m/>
    <m/>
    <m/>
  </r>
  <r>
    <n v="519"/>
    <x v="0"/>
    <n v="97"/>
    <n v="34"/>
    <n v="74"/>
    <n v="205"/>
    <n v="68.333333333333329"/>
    <x v="0"/>
    <x v="0"/>
    <s v="Above Avg"/>
    <n v="188"/>
    <s v="No"/>
    <m/>
    <m/>
    <m/>
    <m/>
  </r>
  <r>
    <n v="520"/>
    <x v="4"/>
    <n v="59"/>
    <n v="36"/>
    <n v="46"/>
    <n v="141"/>
    <n v="47"/>
    <x v="1"/>
    <x v="0"/>
    <s v="Below Avg"/>
    <n v="465"/>
    <s v="No"/>
    <m/>
    <m/>
    <m/>
    <m/>
  </r>
  <r>
    <n v="521"/>
    <x v="3"/>
    <n v="84"/>
    <n v="90"/>
    <n v="78"/>
    <n v="252"/>
    <n v="84"/>
    <x v="2"/>
    <x v="0"/>
    <s v="Above Avg"/>
    <n v="27"/>
    <s v="Yes"/>
    <m/>
    <m/>
    <m/>
    <m/>
  </r>
  <r>
    <n v="522"/>
    <x v="5"/>
    <n v="43"/>
    <n v="30"/>
    <n v="80"/>
    <n v="153"/>
    <n v="51"/>
    <x v="1"/>
    <x v="0"/>
    <s v="Below Avg"/>
    <n v="433"/>
    <s v="No"/>
    <m/>
    <m/>
    <m/>
    <m/>
  </r>
  <r>
    <n v="523"/>
    <x v="1"/>
    <n v="61"/>
    <n v="92"/>
    <n v="66"/>
    <n v="219"/>
    <n v="73"/>
    <x v="0"/>
    <x v="0"/>
    <s v="Above Avg"/>
    <n v="115"/>
    <s v="No"/>
    <m/>
    <m/>
    <m/>
    <m/>
  </r>
  <r>
    <n v="524"/>
    <x v="5"/>
    <n v="96"/>
    <n v="99"/>
    <n v="39"/>
    <n v="234"/>
    <n v="78"/>
    <x v="0"/>
    <x v="0"/>
    <s v="Above Avg"/>
    <n v="65"/>
    <s v="Yes"/>
    <m/>
    <m/>
    <m/>
    <m/>
  </r>
  <r>
    <n v="525"/>
    <x v="0"/>
    <n v="31"/>
    <n v="88"/>
    <n v="37"/>
    <n v="156"/>
    <n v="52"/>
    <x v="1"/>
    <x v="0"/>
    <s v="Below Avg"/>
    <n v="422"/>
    <s v="No"/>
    <m/>
    <m/>
    <m/>
    <m/>
  </r>
  <r>
    <n v="526"/>
    <x v="7"/>
    <n v="63"/>
    <n v="98"/>
    <n v="57"/>
    <n v="218"/>
    <n v="72.666666666666671"/>
    <x v="0"/>
    <x v="0"/>
    <s v="Above Avg"/>
    <n v="120"/>
    <s v="No"/>
    <m/>
    <m/>
    <m/>
    <m/>
  </r>
  <r>
    <n v="527"/>
    <x v="3"/>
    <n v="78"/>
    <n v="87"/>
    <n v="72"/>
    <n v="237"/>
    <n v="79"/>
    <x v="0"/>
    <x v="0"/>
    <s v="Above Avg"/>
    <n v="56"/>
    <s v="Yes"/>
    <m/>
    <m/>
    <m/>
    <m/>
  </r>
  <r>
    <n v="528"/>
    <x v="7"/>
    <n v="65"/>
    <n v="51"/>
    <n v="82"/>
    <n v="198"/>
    <n v="66"/>
    <x v="0"/>
    <x v="0"/>
    <s v="Above Avg"/>
    <n v="217"/>
    <s v="No"/>
    <m/>
    <m/>
    <m/>
    <m/>
  </r>
  <r>
    <n v="529"/>
    <x v="2"/>
    <n v="53"/>
    <n v="82"/>
    <n v="99"/>
    <n v="234"/>
    <n v="78"/>
    <x v="0"/>
    <x v="0"/>
    <s v="Above Avg"/>
    <n v="65"/>
    <s v="Yes"/>
    <m/>
    <m/>
    <m/>
    <m/>
  </r>
  <r>
    <n v="530"/>
    <x v="4"/>
    <n v="88"/>
    <n v="52"/>
    <n v="56"/>
    <n v="196"/>
    <n v="65.333333333333329"/>
    <x v="0"/>
    <x v="0"/>
    <s v="Above Avg"/>
    <n v="235"/>
    <s v="No"/>
    <m/>
    <m/>
    <m/>
    <m/>
  </r>
  <r>
    <n v="531"/>
    <x v="2"/>
    <n v="38"/>
    <n v="72"/>
    <n v="48"/>
    <n v="158"/>
    <n v="52.666666666666664"/>
    <x v="1"/>
    <x v="0"/>
    <s v="Below Avg"/>
    <n v="411"/>
    <s v="No"/>
    <m/>
    <m/>
    <m/>
    <m/>
  </r>
  <r>
    <n v="532"/>
    <x v="4"/>
    <n v="92"/>
    <n v="31"/>
    <n v="80"/>
    <n v="203"/>
    <n v="67.666666666666671"/>
    <x v="0"/>
    <x v="0"/>
    <s v="Above Avg"/>
    <n v="195"/>
    <s v="No"/>
    <m/>
    <m/>
    <m/>
    <m/>
  </r>
  <r>
    <n v="533"/>
    <x v="6"/>
    <n v="69"/>
    <n v="43"/>
    <n v="58"/>
    <n v="170"/>
    <n v="56.666666666666664"/>
    <x v="1"/>
    <x v="0"/>
    <s v="Below Avg"/>
    <n v="364"/>
    <s v="No"/>
    <m/>
    <m/>
    <m/>
    <m/>
  </r>
  <r>
    <n v="534"/>
    <x v="6"/>
    <n v="85"/>
    <n v="40"/>
    <n v="32"/>
    <n v="157"/>
    <n v="52.333333333333336"/>
    <x v="1"/>
    <x v="0"/>
    <s v="Below Avg"/>
    <n v="417"/>
    <s v="No"/>
    <m/>
    <m/>
    <m/>
    <m/>
  </r>
  <r>
    <n v="535"/>
    <x v="3"/>
    <n v="65"/>
    <n v="98"/>
    <n v="31"/>
    <n v="194"/>
    <n v="64.666666666666671"/>
    <x v="0"/>
    <x v="0"/>
    <s v="Above Avg"/>
    <n v="251"/>
    <s v="No"/>
    <m/>
    <m/>
    <m/>
    <m/>
  </r>
  <r>
    <n v="536"/>
    <x v="0"/>
    <n v="47"/>
    <n v="47"/>
    <n v="52"/>
    <n v="146"/>
    <n v="48.666666666666664"/>
    <x v="1"/>
    <x v="0"/>
    <s v="Below Avg"/>
    <n v="452"/>
    <s v="No"/>
    <m/>
    <m/>
    <m/>
    <m/>
  </r>
  <r>
    <n v="537"/>
    <x v="0"/>
    <n v="62"/>
    <n v="61"/>
    <n v="87"/>
    <n v="210"/>
    <n v="70"/>
    <x v="0"/>
    <x v="0"/>
    <s v="Above Avg"/>
    <n v="160"/>
    <s v="No"/>
    <m/>
    <m/>
    <m/>
    <m/>
  </r>
  <r>
    <n v="538"/>
    <x v="6"/>
    <n v="84"/>
    <n v="73"/>
    <n v="89"/>
    <n v="246"/>
    <n v="82"/>
    <x v="2"/>
    <x v="0"/>
    <s v="Above Avg"/>
    <n v="40"/>
    <s v="Yes"/>
    <m/>
    <m/>
    <m/>
    <m/>
  </r>
  <r>
    <n v="539"/>
    <x v="2"/>
    <n v="35"/>
    <n v="96"/>
    <n v="66"/>
    <n v="197"/>
    <n v="65.666666666666671"/>
    <x v="0"/>
    <x v="0"/>
    <s v="Above Avg"/>
    <n v="224"/>
    <s v="No"/>
    <m/>
    <m/>
    <m/>
    <m/>
  </r>
  <r>
    <n v="540"/>
    <x v="6"/>
    <n v="92"/>
    <n v="73"/>
    <n v="86"/>
    <n v="251"/>
    <n v="83.666666666666671"/>
    <x v="2"/>
    <x v="0"/>
    <s v="Above Avg"/>
    <n v="31"/>
    <s v="Yes"/>
    <m/>
    <m/>
    <m/>
    <m/>
  </r>
  <r>
    <n v="541"/>
    <x v="1"/>
    <n v="70"/>
    <n v="45"/>
    <n v="35"/>
    <n v="150"/>
    <n v="50"/>
    <x v="1"/>
    <x v="0"/>
    <s v="Below Avg"/>
    <n v="444"/>
    <s v="No"/>
    <m/>
    <m/>
    <m/>
    <m/>
  </r>
  <r>
    <n v="542"/>
    <x v="0"/>
    <n v="55"/>
    <n v="35"/>
    <n v="65"/>
    <n v="155"/>
    <n v="51.666666666666664"/>
    <x v="1"/>
    <x v="0"/>
    <s v="Below Avg"/>
    <n v="426"/>
    <s v="No"/>
    <m/>
    <m/>
    <m/>
    <m/>
  </r>
  <r>
    <n v="543"/>
    <x v="6"/>
    <n v="82"/>
    <n v="41"/>
    <n v="58"/>
    <n v="181"/>
    <n v="60.333333333333336"/>
    <x v="0"/>
    <x v="0"/>
    <s v="Below Avg"/>
    <n v="314"/>
    <s v="No"/>
    <m/>
    <m/>
    <m/>
    <m/>
  </r>
  <r>
    <n v="544"/>
    <x v="6"/>
    <n v="89"/>
    <n v="35"/>
    <n v="91"/>
    <n v="215"/>
    <n v="71.666666666666671"/>
    <x v="0"/>
    <x v="0"/>
    <s v="Above Avg"/>
    <n v="135"/>
    <s v="No"/>
    <m/>
    <m/>
    <m/>
    <m/>
  </r>
  <r>
    <n v="545"/>
    <x v="4"/>
    <n v="90"/>
    <n v="91"/>
    <n v="42"/>
    <n v="223"/>
    <n v="74.333333333333329"/>
    <x v="0"/>
    <x v="0"/>
    <s v="Above Avg"/>
    <n v="98"/>
    <s v="No"/>
    <m/>
    <m/>
    <m/>
    <m/>
  </r>
  <r>
    <n v="546"/>
    <x v="2"/>
    <n v="43"/>
    <n v="68"/>
    <n v="69"/>
    <n v="180"/>
    <n v="60"/>
    <x v="0"/>
    <x v="0"/>
    <s v="Below Avg"/>
    <n v="318"/>
    <s v="No"/>
    <m/>
    <m/>
    <m/>
    <m/>
  </r>
  <r>
    <n v="547"/>
    <x v="0"/>
    <n v="37"/>
    <n v="73"/>
    <n v="47"/>
    <n v="157"/>
    <n v="52.333333333333336"/>
    <x v="1"/>
    <x v="0"/>
    <s v="Below Avg"/>
    <n v="417"/>
    <s v="No"/>
    <m/>
    <m/>
    <m/>
    <m/>
  </r>
  <r>
    <n v="548"/>
    <x v="0"/>
    <n v="32"/>
    <n v="38"/>
    <n v="32"/>
    <n v="102"/>
    <n v="34"/>
    <x v="3"/>
    <x v="1"/>
    <s v="Below Avg"/>
    <n v="500"/>
    <s v="No"/>
    <m/>
    <m/>
    <m/>
    <m/>
  </r>
  <r>
    <n v="549"/>
    <x v="4"/>
    <n v="53"/>
    <n v="43"/>
    <n v="74"/>
    <n v="170"/>
    <n v="56.666666666666664"/>
    <x v="1"/>
    <x v="0"/>
    <s v="Below Avg"/>
    <n v="364"/>
    <s v="No"/>
    <m/>
    <m/>
    <m/>
    <m/>
  </r>
  <r>
    <n v="550"/>
    <x v="1"/>
    <n v="90"/>
    <n v="65"/>
    <n v="34"/>
    <n v="189"/>
    <n v="63"/>
    <x v="0"/>
    <x v="0"/>
    <s v="Below Avg"/>
    <n v="276"/>
    <s v="No"/>
    <m/>
    <m/>
    <m/>
    <m/>
  </r>
  <r>
    <n v="551"/>
    <x v="0"/>
    <n v="46"/>
    <n v="79"/>
    <n v="75"/>
    <n v="200"/>
    <n v="66.666666666666671"/>
    <x v="0"/>
    <x v="0"/>
    <s v="Above Avg"/>
    <n v="210"/>
    <s v="No"/>
    <m/>
    <m/>
    <m/>
    <m/>
  </r>
  <r>
    <n v="552"/>
    <x v="6"/>
    <n v="78"/>
    <n v="83"/>
    <n v="34"/>
    <n v="195"/>
    <n v="65"/>
    <x v="0"/>
    <x v="0"/>
    <s v="Above Avg"/>
    <n v="243"/>
    <s v="No"/>
    <m/>
    <m/>
    <m/>
    <m/>
  </r>
  <r>
    <n v="553"/>
    <x v="7"/>
    <n v="60"/>
    <n v="90"/>
    <n v="41"/>
    <n v="191"/>
    <n v="63.666666666666664"/>
    <x v="0"/>
    <x v="0"/>
    <s v="Below Avg"/>
    <n v="265"/>
    <s v="No"/>
    <m/>
    <m/>
    <m/>
    <m/>
  </r>
  <r>
    <n v="554"/>
    <x v="6"/>
    <n v="66"/>
    <n v="30"/>
    <n v="85"/>
    <n v="181"/>
    <n v="60.333333333333336"/>
    <x v="0"/>
    <x v="0"/>
    <s v="Below Avg"/>
    <n v="314"/>
    <s v="No"/>
    <m/>
    <m/>
    <m/>
    <m/>
  </r>
  <r>
    <n v="555"/>
    <x v="0"/>
    <n v="31"/>
    <n v="93"/>
    <n v="58"/>
    <n v="182"/>
    <n v="60.666666666666664"/>
    <x v="0"/>
    <x v="0"/>
    <s v="Below Avg"/>
    <n v="310"/>
    <s v="No"/>
    <m/>
    <m/>
    <m/>
    <m/>
  </r>
  <r>
    <n v="556"/>
    <x v="1"/>
    <n v="48"/>
    <n v="57"/>
    <n v="66"/>
    <n v="171"/>
    <n v="57"/>
    <x v="1"/>
    <x v="0"/>
    <s v="Below Avg"/>
    <n v="360"/>
    <s v="No"/>
    <m/>
    <m/>
    <m/>
    <m/>
  </r>
  <r>
    <n v="557"/>
    <x v="2"/>
    <n v="87"/>
    <n v="69"/>
    <n v="50"/>
    <n v="206"/>
    <n v="68.666666666666671"/>
    <x v="0"/>
    <x v="0"/>
    <s v="Above Avg"/>
    <n v="180"/>
    <s v="No"/>
    <m/>
    <m/>
    <m/>
    <m/>
  </r>
  <r>
    <n v="558"/>
    <x v="7"/>
    <n v="42"/>
    <n v="92"/>
    <n v="32"/>
    <n v="166"/>
    <n v="55.333333333333336"/>
    <x v="1"/>
    <x v="0"/>
    <s v="Below Avg"/>
    <n v="384"/>
    <s v="No"/>
    <m/>
    <m/>
    <m/>
    <m/>
  </r>
  <r>
    <n v="559"/>
    <x v="1"/>
    <n v="71"/>
    <n v="76"/>
    <n v="56"/>
    <n v="203"/>
    <n v="67.666666666666671"/>
    <x v="0"/>
    <x v="0"/>
    <s v="Above Avg"/>
    <n v="195"/>
    <s v="No"/>
    <m/>
    <m/>
    <m/>
    <m/>
  </r>
  <r>
    <n v="560"/>
    <x v="0"/>
    <n v="56"/>
    <n v="82"/>
    <n v="47"/>
    <n v="185"/>
    <n v="61.666666666666664"/>
    <x v="0"/>
    <x v="0"/>
    <s v="Below Avg"/>
    <n v="292"/>
    <s v="No"/>
    <m/>
    <m/>
    <m/>
    <m/>
  </r>
  <r>
    <n v="561"/>
    <x v="6"/>
    <n v="58"/>
    <n v="31"/>
    <n v="64"/>
    <n v="153"/>
    <n v="51"/>
    <x v="1"/>
    <x v="0"/>
    <s v="Below Avg"/>
    <n v="433"/>
    <s v="No"/>
    <m/>
    <m/>
    <m/>
    <m/>
  </r>
  <r>
    <n v="562"/>
    <x v="2"/>
    <n v="48"/>
    <n v="72"/>
    <n v="36"/>
    <n v="156"/>
    <n v="52"/>
    <x v="1"/>
    <x v="0"/>
    <s v="Below Avg"/>
    <n v="422"/>
    <s v="No"/>
    <m/>
    <m/>
    <m/>
    <m/>
  </r>
  <r>
    <n v="563"/>
    <x v="3"/>
    <n v="35"/>
    <n v="44"/>
    <n v="69"/>
    <n v="148"/>
    <n v="49.333333333333336"/>
    <x v="1"/>
    <x v="0"/>
    <s v="Below Avg"/>
    <n v="449"/>
    <s v="No"/>
    <m/>
    <m/>
    <m/>
    <m/>
  </r>
  <r>
    <n v="564"/>
    <x v="6"/>
    <n v="69"/>
    <n v="48"/>
    <n v="98"/>
    <n v="215"/>
    <n v="71.666666666666671"/>
    <x v="0"/>
    <x v="0"/>
    <s v="Above Avg"/>
    <n v="135"/>
    <s v="No"/>
    <m/>
    <m/>
    <m/>
    <m/>
  </r>
  <r>
    <n v="565"/>
    <x v="7"/>
    <n v="56"/>
    <n v="49"/>
    <n v="70"/>
    <n v="175"/>
    <n v="58.333333333333336"/>
    <x v="1"/>
    <x v="0"/>
    <s v="Below Avg"/>
    <n v="336"/>
    <s v="No"/>
    <m/>
    <m/>
    <m/>
    <m/>
  </r>
  <r>
    <n v="566"/>
    <x v="2"/>
    <n v="62"/>
    <n v="32"/>
    <n v="92"/>
    <n v="186"/>
    <n v="62"/>
    <x v="0"/>
    <x v="0"/>
    <s v="Below Avg"/>
    <n v="290"/>
    <s v="No"/>
    <m/>
    <m/>
    <m/>
    <m/>
  </r>
  <r>
    <n v="567"/>
    <x v="5"/>
    <n v="89"/>
    <n v="42"/>
    <n v="82"/>
    <n v="213"/>
    <n v="71"/>
    <x v="0"/>
    <x v="0"/>
    <s v="Above Avg"/>
    <n v="144"/>
    <s v="No"/>
    <m/>
    <m/>
    <m/>
    <m/>
  </r>
  <r>
    <n v="568"/>
    <x v="3"/>
    <n v="46"/>
    <n v="45"/>
    <n v="81"/>
    <n v="172"/>
    <n v="57.333333333333336"/>
    <x v="1"/>
    <x v="0"/>
    <s v="Below Avg"/>
    <n v="351"/>
    <s v="No"/>
    <m/>
    <m/>
    <m/>
    <m/>
  </r>
  <r>
    <n v="569"/>
    <x v="2"/>
    <n v="54"/>
    <n v="66"/>
    <n v="35"/>
    <n v="155"/>
    <n v="51.666666666666664"/>
    <x v="1"/>
    <x v="0"/>
    <s v="Below Avg"/>
    <n v="426"/>
    <s v="No"/>
    <m/>
    <m/>
    <m/>
    <m/>
  </r>
  <r>
    <n v="570"/>
    <x v="2"/>
    <n v="97"/>
    <n v="70"/>
    <n v="91"/>
    <n v="258"/>
    <n v="86"/>
    <x v="2"/>
    <x v="0"/>
    <s v="Above Avg"/>
    <n v="20"/>
    <s v="Yes"/>
    <m/>
    <m/>
    <m/>
    <m/>
  </r>
  <r>
    <n v="571"/>
    <x v="1"/>
    <n v="76"/>
    <n v="65"/>
    <n v="74"/>
    <n v="215"/>
    <n v="71.666666666666671"/>
    <x v="0"/>
    <x v="0"/>
    <s v="Above Avg"/>
    <n v="135"/>
    <s v="No"/>
    <m/>
    <m/>
    <m/>
    <m/>
  </r>
  <r>
    <n v="572"/>
    <x v="1"/>
    <n v="80"/>
    <n v="41"/>
    <n v="53"/>
    <n v="174"/>
    <n v="58"/>
    <x v="1"/>
    <x v="0"/>
    <s v="Below Avg"/>
    <n v="340"/>
    <s v="No"/>
    <m/>
    <m/>
    <m/>
    <m/>
  </r>
  <r>
    <n v="573"/>
    <x v="0"/>
    <n v="54"/>
    <n v="98"/>
    <n v="51"/>
    <n v="203"/>
    <n v="67.666666666666671"/>
    <x v="0"/>
    <x v="0"/>
    <s v="Above Avg"/>
    <n v="195"/>
    <s v="No"/>
    <m/>
    <m/>
    <m/>
    <m/>
  </r>
  <r>
    <n v="574"/>
    <x v="6"/>
    <n v="91"/>
    <n v="99"/>
    <n v="40"/>
    <n v="230"/>
    <n v="76.666666666666671"/>
    <x v="0"/>
    <x v="0"/>
    <s v="Above Avg"/>
    <n v="78"/>
    <s v="Yes"/>
    <m/>
    <m/>
    <m/>
    <m/>
  </r>
  <r>
    <n v="575"/>
    <x v="1"/>
    <n v="35"/>
    <n v="47"/>
    <n v="50"/>
    <n v="132"/>
    <n v="44"/>
    <x v="1"/>
    <x v="0"/>
    <s v="Below Avg"/>
    <n v="484"/>
    <s v="No"/>
    <m/>
    <m/>
    <m/>
    <m/>
  </r>
  <r>
    <n v="576"/>
    <x v="6"/>
    <n v="69"/>
    <n v="33"/>
    <n v="59"/>
    <n v="161"/>
    <n v="53.666666666666664"/>
    <x v="1"/>
    <x v="0"/>
    <s v="Below Avg"/>
    <n v="403"/>
    <s v="No"/>
    <m/>
    <m/>
    <m/>
    <m/>
  </r>
  <r>
    <n v="577"/>
    <x v="5"/>
    <n v="34"/>
    <n v="97"/>
    <n v="66"/>
    <n v="197"/>
    <n v="65.666666666666671"/>
    <x v="0"/>
    <x v="0"/>
    <s v="Above Avg"/>
    <n v="224"/>
    <s v="No"/>
    <m/>
    <m/>
    <m/>
    <m/>
  </r>
  <r>
    <n v="578"/>
    <x v="3"/>
    <n v="48"/>
    <n v="69"/>
    <n v="89"/>
    <n v="206"/>
    <n v="68.666666666666671"/>
    <x v="0"/>
    <x v="0"/>
    <s v="Above Avg"/>
    <n v="180"/>
    <s v="No"/>
    <m/>
    <m/>
    <m/>
    <m/>
  </r>
  <r>
    <n v="579"/>
    <x v="3"/>
    <n v="70"/>
    <n v="100"/>
    <n v="53"/>
    <n v="223"/>
    <n v="74.333333333333329"/>
    <x v="0"/>
    <x v="0"/>
    <s v="Above Avg"/>
    <n v="98"/>
    <s v="No"/>
    <m/>
    <m/>
    <m/>
    <m/>
  </r>
  <r>
    <n v="580"/>
    <x v="3"/>
    <n v="75"/>
    <n v="97"/>
    <n v="39"/>
    <n v="211"/>
    <n v="70.333333333333329"/>
    <x v="0"/>
    <x v="0"/>
    <s v="Above Avg"/>
    <n v="153"/>
    <s v="No"/>
    <m/>
    <m/>
    <m/>
    <m/>
  </r>
  <r>
    <n v="581"/>
    <x v="0"/>
    <n v="86"/>
    <n v="64"/>
    <n v="74"/>
    <n v="224"/>
    <n v="74.666666666666671"/>
    <x v="0"/>
    <x v="0"/>
    <s v="Above Avg"/>
    <n v="96"/>
    <s v="No"/>
    <m/>
    <m/>
    <m/>
    <m/>
  </r>
  <r>
    <n v="582"/>
    <x v="6"/>
    <n v="73"/>
    <n v="53"/>
    <n v="83"/>
    <n v="209"/>
    <n v="69.666666666666671"/>
    <x v="0"/>
    <x v="0"/>
    <s v="Above Avg"/>
    <n v="164"/>
    <s v="No"/>
    <m/>
    <m/>
    <m/>
    <m/>
  </r>
  <r>
    <n v="583"/>
    <x v="7"/>
    <n v="92"/>
    <n v="36"/>
    <n v="74"/>
    <n v="202"/>
    <n v="67.333333333333329"/>
    <x v="0"/>
    <x v="0"/>
    <s v="Above Avg"/>
    <n v="204"/>
    <s v="No"/>
    <m/>
    <m/>
    <m/>
    <m/>
  </r>
  <r>
    <n v="584"/>
    <x v="7"/>
    <n v="71"/>
    <n v="93"/>
    <n v="34"/>
    <n v="198"/>
    <n v="66"/>
    <x v="0"/>
    <x v="0"/>
    <s v="Above Avg"/>
    <n v="217"/>
    <s v="No"/>
    <m/>
    <m/>
    <m/>
    <m/>
  </r>
  <r>
    <n v="585"/>
    <x v="6"/>
    <n v="69"/>
    <n v="69"/>
    <n v="85"/>
    <n v="223"/>
    <n v="74.333333333333329"/>
    <x v="0"/>
    <x v="0"/>
    <s v="Above Avg"/>
    <n v="98"/>
    <s v="No"/>
    <m/>
    <m/>
    <m/>
    <m/>
  </r>
  <r>
    <n v="586"/>
    <x v="7"/>
    <n v="82"/>
    <n v="47"/>
    <n v="94"/>
    <n v="223"/>
    <n v="74.333333333333329"/>
    <x v="0"/>
    <x v="0"/>
    <s v="Above Avg"/>
    <n v="98"/>
    <s v="No"/>
    <m/>
    <m/>
    <m/>
    <m/>
  </r>
  <r>
    <n v="587"/>
    <x v="2"/>
    <n v="76"/>
    <n v="44"/>
    <n v="82"/>
    <n v="202"/>
    <n v="67.333333333333329"/>
    <x v="0"/>
    <x v="0"/>
    <s v="Above Avg"/>
    <n v="204"/>
    <s v="No"/>
    <m/>
    <m/>
    <m/>
    <m/>
  </r>
  <r>
    <n v="588"/>
    <x v="7"/>
    <n v="86"/>
    <n v="92"/>
    <n v="33"/>
    <n v="211"/>
    <n v="70.333333333333329"/>
    <x v="0"/>
    <x v="0"/>
    <s v="Above Avg"/>
    <n v="153"/>
    <s v="No"/>
    <m/>
    <m/>
    <m/>
    <m/>
  </r>
  <r>
    <n v="589"/>
    <x v="7"/>
    <n v="47"/>
    <n v="30"/>
    <n v="35"/>
    <n v="112"/>
    <n v="37.333333333333336"/>
    <x v="3"/>
    <x v="1"/>
    <s v="Below Avg"/>
    <n v="497"/>
    <s v="No"/>
    <m/>
    <m/>
    <m/>
    <m/>
  </r>
  <r>
    <n v="590"/>
    <x v="5"/>
    <n v="44"/>
    <n v="44"/>
    <n v="83"/>
    <n v="171"/>
    <n v="57"/>
    <x v="1"/>
    <x v="0"/>
    <s v="Below Avg"/>
    <n v="360"/>
    <s v="No"/>
    <m/>
    <m/>
    <m/>
    <m/>
  </r>
  <r>
    <n v="591"/>
    <x v="5"/>
    <n v="72"/>
    <n v="75"/>
    <n v="67"/>
    <n v="214"/>
    <n v="71.333333333333329"/>
    <x v="0"/>
    <x v="0"/>
    <s v="Above Avg"/>
    <n v="140"/>
    <s v="No"/>
    <m/>
    <m/>
    <m/>
    <m/>
  </r>
  <r>
    <n v="592"/>
    <x v="1"/>
    <n v="38"/>
    <n v="48"/>
    <n v="53"/>
    <n v="139"/>
    <n v="46.333333333333336"/>
    <x v="1"/>
    <x v="0"/>
    <s v="Below Avg"/>
    <n v="469"/>
    <s v="No"/>
    <m/>
    <m/>
    <m/>
    <m/>
  </r>
  <r>
    <n v="593"/>
    <x v="6"/>
    <n v="90"/>
    <n v="65"/>
    <n v="82"/>
    <n v="237"/>
    <n v="79"/>
    <x v="0"/>
    <x v="0"/>
    <s v="Above Avg"/>
    <n v="56"/>
    <s v="Yes"/>
    <m/>
    <m/>
    <m/>
    <m/>
  </r>
  <r>
    <n v="594"/>
    <x v="4"/>
    <n v="59"/>
    <n v="40"/>
    <n v="96"/>
    <n v="195"/>
    <n v="65"/>
    <x v="0"/>
    <x v="0"/>
    <s v="Above Avg"/>
    <n v="243"/>
    <s v="No"/>
    <m/>
    <m/>
    <m/>
    <m/>
  </r>
  <r>
    <n v="595"/>
    <x v="5"/>
    <n v="46"/>
    <n v="97"/>
    <n v="35"/>
    <n v="178"/>
    <n v="59.333333333333336"/>
    <x v="1"/>
    <x v="0"/>
    <s v="Below Avg"/>
    <n v="326"/>
    <s v="No"/>
    <m/>
    <m/>
    <m/>
    <m/>
  </r>
  <r>
    <n v="596"/>
    <x v="7"/>
    <n v="53"/>
    <n v="97"/>
    <n v="67"/>
    <n v="217"/>
    <n v="72.333333333333329"/>
    <x v="0"/>
    <x v="0"/>
    <s v="Above Avg"/>
    <n v="125"/>
    <s v="No"/>
    <m/>
    <m/>
    <m/>
    <m/>
  </r>
  <r>
    <n v="597"/>
    <x v="3"/>
    <n v="32"/>
    <n v="89"/>
    <n v="34"/>
    <n v="155"/>
    <n v="51.666666666666664"/>
    <x v="1"/>
    <x v="0"/>
    <s v="Below Avg"/>
    <n v="426"/>
    <s v="No"/>
    <m/>
    <m/>
    <m/>
    <m/>
  </r>
  <r>
    <n v="598"/>
    <x v="3"/>
    <n v="67"/>
    <n v="58"/>
    <n v="78"/>
    <n v="203"/>
    <n v="67.666666666666671"/>
    <x v="0"/>
    <x v="0"/>
    <s v="Above Avg"/>
    <n v="195"/>
    <s v="No"/>
    <m/>
    <m/>
    <m/>
    <m/>
  </r>
  <r>
    <n v="599"/>
    <x v="1"/>
    <n v="46"/>
    <n v="42"/>
    <n v="97"/>
    <n v="185"/>
    <n v="61.666666666666664"/>
    <x v="0"/>
    <x v="0"/>
    <s v="Below Avg"/>
    <n v="292"/>
    <s v="No"/>
    <m/>
    <m/>
    <m/>
    <m/>
  </r>
  <r>
    <n v="600"/>
    <x v="6"/>
    <n v="34"/>
    <n v="71"/>
    <n v="54"/>
    <n v="159"/>
    <n v="53"/>
    <x v="1"/>
    <x v="0"/>
    <s v="Below Avg"/>
    <n v="407"/>
    <s v="No"/>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152AA2-5A95-43AA-A450-A8E5C21655ED}"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8:F20" firstHeaderRow="1" firstDataRow="1" firstDataCol="1"/>
  <pivotFields count="16">
    <pivotField showAll="0"/>
    <pivotField axis="axisRow" showAll="0">
      <items count="9">
        <item x="5"/>
        <item h="1" x="1"/>
        <item h="1" x="3"/>
        <item h="1" x="4"/>
        <item h="1" x="6"/>
        <item h="1" x="0"/>
        <item h="1" x="7"/>
        <item h="1"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t="grand">
      <x/>
    </i>
  </rowItems>
  <colItems count="1">
    <i/>
  </colItems>
  <dataFields count="1">
    <dataField name="Average of Total" fld="5" subtotal="average" baseField="1" baseItem="0" numFmtId="2"/>
  </dataFields>
  <formats count="8">
    <format dxfId="56">
      <pivotArea collapsedLevelsAreSubtotals="1" fieldPosition="0">
        <references count="1">
          <reference field="1" count="0"/>
        </references>
      </pivotArea>
    </format>
    <format dxfId="57">
      <pivotArea outline="0" collapsedLevelsAreSubtotals="1" fieldPosition="0"/>
    </format>
    <format dxfId="58">
      <pivotArea type="all" dataOnly="0" outline="0" fieldPosition="0"/>
    </format>
    <format dxfId="59">
      <pivotArea outline="0" collapsedLevelsAreSubtotals="1" fieldPosition="0"/>
    </format>
    <format dxfId="60">
      <pivotArea field="1" type="button" dataOnly="0" labelOnly="1" outline="0" axis="axisRow" fieldPosition="0"/>
    </format>
    <format dxfId="61">
      <pivotArea dataOnly="0" labelOnly="1" fieldPosition="0">
        <references count="1">
          <reference field="1" count="0"/>
        </references>
      </pivotArea>
    </format>
    <format dxfId="62">
      <pivotArea dataOnly="0" labelOnly="1" grandRow="1" outline="0" fieldPosition="0"/>
    </format>
    <format dxfId="63">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670079-1073-4F9E-B495-64FAB435B45C}"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11:K13" firstHeaderRow="1" firstDataRow="1" firstDataCol="1"/>
  <pivotFields count="16">
    <pivotField showAll="0"/>
    <pivotField dataField="1" showAll="0"/>
    <pivotField showAll="0"/>
    <pivotField showAll="0"/>
    <pivotField showAll="0"/>
    <pivotField showAll="0"/>
    <pivotField showAll="0"/>
    <pivotField axis="axisRow" showAll="0">
      <items count="6">
        <item h="1" x="2"/>
        <item h="1" x="0"/>
        <item h="1" x="1"/>
        <item h="1" m="1" x="4"/>
        <item x="3"/>
        <item t="default"/>
      </items>
    </pivotField>
    <pivotField showAll="0"/>
    <pivotField showAll="0"/>
    <pivotField showAll="0"/>
    <pivotField showAll="0"/>
    <pivotField showAll="0"/>
    <pivotField showAll="0"/>
    <pivotField showAll="0"/>
    <pivotField showAll="0"/>
  </pivotFields>
  <rowFields count="1">
    <field x="7"/>
  </rowFields>
  <rowItems count="2">
    <i>
      <x v="4"/>
    </i>
    <i t="grand">
      <x/>
    </i>
  </rowItems>
  <colItems count="1">
    <i/>
  </colItems>
  <dataFields count="1">
    <dataField name="Count of Name" fld="1" subtotal="count" baseField="0" baseItem="0"/>
  </dataFields>
  <formats count="6">
    <format dxfId="70">
      <pivotArea type="all" dataOnly="0" outline="0" fieldPosition="0"/>
    </format>
    <format dxfId="71">
      <pivotArea outline="0" collapsedLevelsAreSubtotals="1" fieldPosition="0"/>
    </format>
    <format dxfId="72">
      <pivotArea field="7" type="button" dataOnly="0" labelOnly="1" outline="0" axis="axisRow" fieldPosition="0"/>
    </format>
    <format dxfId="73">
      <pivotArea dataOnly="0" labelOnly="1" fieldPosition="0">
        <references count="1">
          <reference field="7" count="0"/>
        </references>
      </pivotArea>
    </format>
    <format dxfId="74">
      <pivotArea dataOnly="0" labelOnly="1" grandRow="1" outline="0" fieldPosition="0"/>
    </format>
    <format dxfId="75">
      <pivotArea dataOnly="0" labelOnly="1" outline="0" axis="axisValues" fieldPosition="0"/>
    </format>
  </format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9E50B8-831A-48AD-B7FE-DEBBBCB59FEE}"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4:K6" firstHeaderRow="1" firstDataRow="1" firstDataCol="1"/>
  <pivotFields count="16">
    <pivotField showAll="0"/>
    <pivotField dataField="1" showAll="0"/>
    <pivotField showAll="0"/>
    <pivotField showAll="0"/>
    <pivotField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Count of Name" fld="1" subtotal="count" baseField="0" baseItem="0"/>
  </dataFields>
  <formats count="6">
    <format dxfId="76">
      <pivotArea type="all" dataOnly="0" outline="0" fieldPosition="0"/>
    </format>
    <format dxfId="77">
      <pivotArea outline="0" collapsedLevelsAreSubtotals="1" fieldPosition="0"/>
    </format>
    <format dxfId="78">
      <pivotArea field="8" type="button" dataOnly="0" labelOnly="1" outline="0" axis="axisRow" fieldPosition="0"/>
    </format>
    <format dxfId="79">
      <pivotArea dataOnly="0" labelOnly="1" fieldPosition="0">
        <references count="1">
          <reference field="8" count="0"/>
        </references>
      </pivotArea>
    </format>
    <format dxfId="80">
      <pivotArea dataOnly="0" labelOnly="1" grandRow="1" outline="0" fieldPosition="0"/>
    </format>
    <format dxfId="81">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5A5E59-9A94-467F-B7E7-2EFF5F43C21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F4" firstHeaderRow="0" firstDataRow="1" firstDataCol="1"/>
  <pivotFields count="16">
    <pivotField showAll="0"/>
    <pivotField axis="axisRow" showAll="0">
      <items count="9">
        <item h="1" x="5"/>
        <item h="1" x="1"/>
        <item h="1" x="3"/>
        <item h="1" x="4"/>
        <item h="1" x="6"/>
        <item x="0"/>
        <item h="1" x="7"/>
        <item h="1" x="2"/>
        <item t="default"/>
      </items>
    </pivotField>
    <pivotField dataField="1" showAll="0"/>
    <pivotField dataField="1" showAll="0"/>
    <pivotField dataField="1" showAll="0"/>
    <pivotField dataField="1"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s>
  <rowFields count="1">
    <field x="1"/>
  </rowFields>
  <rowItems count="2">
    <i>
      <x v="5"/>
    </i>
    <i t="grand">
      <x/>
    </i>
  </rowItems>
  <colFields count="1">
    <field x="-2"/>
  </colFields>
  <colItems count="4">
    <i>
      <x/>
    </i>
    <i i="1">
      <x v="1"/>
    </i>
    <i i="2">
      <x v="2"/>
    </i>
    <i i="3">
      <x v="3"/>
    </i>
  </colItems>
  <dataFields count="4">
    <dataField name="Sum of English" fld="2" baseField="0" baseItem="0"/>
    <dataField name="Sum of Math" fld="3" baseField="0" baseItem="0"/>
    <dataField name="Sum of Science" fld="4" baseField="0" baseItem="0"/>
    <dataField name="Sum of Total" fld="5" baseField="0" baseItem="0"/>
  </dataFields>
  <formats count="6">
    <format dxfId="95">
      <pivotArea type="all" dataOnly="0" outline="0" fieldPosition="0"/>
    </format>
    <format dxfId="94">
      <pivotArea outline="0" collapsedLevelsAreSubtotals="1" fieldPosition="0"/>
    </format>
    <format dxfId="93">
      <pivotArea field="1" type="button" dataOnly="0" labelOnly="1" outline="0" axis="axisRow" fieldPosition="0"/>
    </format>
    <format dxfId="92">
      <pivotArea dataOnly="0" labelOnly="1" fieldPosition="0">
        <references count="1">
          <reference field="1" count="0"/>
        </references>
      </pivotArea>
    </format>
    <format dxfId="91">
      <pivotArea dataOnly="0" labelOnly="1" grandRow="1" outline="0" fieldPosition="0"/>
    </format>
    <format dxfId="90">
      <pivotArea dataOnly="0" labelOnly="1" outline="0" fieldPosition="0">
        <references count="1">
          <reference field="4294967294" count="4">
            <x v="0"/>
            <x v="1"/>
            <x v="2"/>
            <x v="3"/>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B134F88-F2F8-4671-891A-CADF3C6CAA0B}" sourceName="Name">
  <pivotTables>
    <pivotTable tabId="8" name="PivotTable1"/>
  </pivotTables>
  <data>
    <tabular pivotCacheId="1113353013">
      <items count="8">
        <i x="5"/>
        <i x="1"/>
        <i x="3"/>
        <i x="4"/>
        <i x="6"/>
        <i x="0" s="1"/>
        <i x="7"/>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_FAIL" xr10:uid="{A212D48D-8A05-4EA5-8E9D-CCF03096A89F}" sourceName="Pass/FAIL">
  <pivotTables>
    <pivotTable tabId="8" name="PivotTable1"/>
  </pivotTables>
  <data>
    <tabular pivotCacheId="1113353013">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E00950CB-E7EC-45A2-AB28-56961C38FB82}" sourceName="Name">
  <pivotTables>
    <pivotTable tabId="8" name="PivotTable7"/>
  </pivotTables>
  <data>
    <tabular pivotCacheId="1113353013">
      <items count="8">
        <i x="5" s="1"/>
        <i x="1"/>
        <i x="3"/>
        <i x="4"/>
        <i x="6"/>
        <i x="0"/>
        <i x="7"/>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_FAIL1" xr10:uid="{3652BD18-20E5-4338-BDAD-AD947216DE04}" sourceName="Pass/FAIL">
  <pivotTables>
    <pivotTable tabId="8" name="PivotTable3"/>
  </pivotTables>
  <data>
    <tabular pivotCacheId="1113353013">
      <items count="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90CF78B3-8903-4DF8-9AB5-A17FC817D033}" sourceName="Grade">
  <pivotTables>
    <pivotTable tabId="8" name="PivotTable6"/>
  </pivotTables>
  <data>
    <tabular pivotCacheId="1113353013">
      <items count="5">
        <i x="2"/>
        <i x="0"/>
        <i x="1"/>
        <i x="3"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4ED38F4E-CFD3-4AAF-8E39-460261F8C0CE}" cache="Slicer_Name" caption="Name" rowHeight="241300"/>
  <slicer name="Pass/FAIL" xr10:uid="{BDD426FB-E70B-4668-9435-79630CFBAF40}" cache="Slicer_Pass_FAIL" caption="Pass/FAIL" rowHeight="241300"/>
  <slicer name="Name 1" xr10:uid="{EF9C4CAD-12DD-4E04-9D09-A527B405D5DE}" cache="Slicer_Name1" caption="Name" rowHeight="241300"/>
  <slicer name="Pass/FAIL 1" xr10:uid="{0A13719B-DCDA-4610-BFE9-06A541637421}" cache="Slicer_Pass_FAIL1" caption="Pass/FAIL" rowHeight="241300"/>
  <slicer name="Grade" xr10:uid="{1ED3D20D-B760-42B3-B5DF-6D2A1B93CCA2}" cache="Slicer_Grade" caption="Gra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C315A0-10DD-43CF-96C9-CF0A523972F6}" name="Table1" displayName="Table1" ref="A1:P501" totalsRowShown="0" headerRowDxfId="109">
  <autoFilter ref="A1:P501" xr:uid="{F710C76F-8FD9-4F05-8B09-42037BDB04C1}"/>
  <tableColumns count="16">
    <tableColumn id="1" xr3:uid="{0F5AD881-45F8-4A61-B5DD-279ACA8204BC}" name="Roll No"/>
    <tableColumn id="2" xr3:uid="{628D1DC8-4564-4B76-9098-264141F8612B}" name="Name"/>
    <tableColumn id="3" xr3:uid="{63E46D34-2F25-457C-9DAB-2794953545FE}" name="English"/>
    <tableColumn id="4" xr3:uid="{5E6843F3-AA8D-4E69-ACD7-238BD15CFFA8}" name="Math"/>
    <tableColumn id="5" xr3:uid="{E91BA3DF-F740-489D-84EB-AC68C601940D}" name="Science"/>
    <tableColumn id="6" xr3:uid="{C247E1B4-5687-4E11-AA6D-FBA44B4B6D94}" name="Total">
      <calculatedColumnFormula>SUM(C2:E2)</calculatedColumnFormula>
    </tableColumn>
    <tableColumn id="7" xr3:uid="{09FA7EE0-3FDB-4FDD-9D1B-E7EE46404B8E}" name="Percentage">
      <calculatedColumnFormula>F2/3</calculatedColumnFormula>
    </tableColumn>
    <tableColumn id="8" xr3:uid="{0383E47F-3D94-4145-AAC6-D17446922C02}" name="Grade">
      <calculatedColumnFormula>IF(Table1[[#This Row],[Percentage]]&gt;=80,"A",IF(Table1[[#This Row],[Percentage]]&gt;=60,"B",IF(Table1[[#This Row],[Percentage]]&gt;=40,"C","F")))</calculatedColumnFormula>
    </tableColumn>
    <tableColumn id="9" xr3:uid="{05D47A86-5DB7-4FF9-8313-D67DB9882503}" name="Pass/FAIL">
      <calculatedColumnFormula>IF(AVERAGE(C2:E2)&gt;=40,"Pass","Fail")</calculatedColumnFormula>
    </tableColumn>
    <tableColumn id="10" xr3:uid="{C174C87A-D3DB-4141-9E73-084205117AA0}" name="Above Average in the class">
      <calculatedColumnFormula>IF(G2&gt;AVERAGE($G$2:$G$501),"Above Avg","Below Avg")</calculatedColumnFormula>
    </tableColumn>
    <tableColumn id="17" xr3:uid="{48A0972D-2043-45E8-9FC1-3ABBB05B7CF1}" name="Rank" dataDxfId="108">
      <calculatedColumnFormula>RANK(Table1[[#This Row],[Total]],Table1[Total],0)</calculatedColumnFormula>
    </tableColumn>
    <tableColumn id="11" xr3:uid="{AE436827-A7BB-41B4-8D29-3995E71B3610}" name="Distinction">
      <calculatedColumnFormula>IF(G2&gt;=75,"Yes","No")</calculatedColumnFormula>
    </tableColumn>
    <tableColumn id="12" xr3:uid="{675E0F23-5F9E-44B7-8DCE-953DDB77F896}" name="Count Pass Student"/>
    <tableColumn id="13" xr3:uid="{30FA37B6-D436-4BA8-8D41-C38866E16E5A}" name="Count Fail Students"/>
    <tableColumn id="14" xr3:uid="{3F8C1235-50A1-497B-B474-99C9F285B6AA}" name="Rank Students based on total marks"/>
    <tableColumn id="15" xr3:uid="{5F9ACFA0-BEC3-4CAB-83B6-D0DC9BEC8948}" name="Column1"/>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M14" sqref="M14"/>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v>101</v>
      </c>
      <c r="B2" t="s">
        <v>8</v>
      </c>
      <c r="C2">
        <v>93</v>
      </c>
      <c r="D2">
        <v>30</v>
      </c>
      <c r="E2">
        <v>90</v>
      </c>
      <c r="F2">
        <f t="shared" ref="F2:F65" si="0">SUM(C2:E2)</f>
        <v>213</v>
      </c>
      <c r="G2">
        <f t="shared" ref="G2:G65" si="1">F2/3</f>
        <v>71</v>
      </c>
      <c r="H2" t="s">
        <v>43</v>
      </c>
    </row>
    <row r="3" spans="1:8" x14ac:dyDescent="0.3">
      <c r="A3">
        <v>102</v>
      </c>
      <c r="B3" t="s">
        <v>9</v>
      </c>
      <c r="C3">
        <v>72</v>
      </c>
      <c r="D3">
        <v>40</v>
      </c>
      <c r="E3">
        <v>61</v>
      </c>
      <c r="F3">
        <f t="shared" si="0"/>
        <v>173</v>
      </c>
      <c r="G3">
        <f t="shared" si="1"/>
        <v>57.666666666666664</v>
      </c>
      <c r="H3" t="s">
        <v>44</v>
      </c>
    </row>
    <row r="4" spans="1:8" x14ac:dyDescent="0.3">
      <c r="A4">
        <v>103</v>
      </c>
      <c r="B4" t="s">
        <v>10</v>
      </c>
      <c r="C4">
        <v>98</v>
      </c>
      <c r="D4">
        <v>53</v>
      </c>
      <c r="E4">
        <v>45</v>
      </c>
      <c r="F4">
        <f t="shared" si="0"/>
        <v>196</v>
      </c>
      <c r="G4">
        <f t="shared" si="1"/>
        <v>65.333333333333329</v>
      </c>
      <c r="H4" t="s">
        <v>43</v>
      </c>
    </row>
    <row r="5" spans="1:8" x14ac:dyDescent="0.3">
      <c r="A5">
        <v>104</v>
      </c>
      <c r="B5" t="s">
        <v>11</v>
      </c>
      <c r="C5">
        <v>97</v>
      </c>
      <c r="D5">
        <v>82</v>
      </c>
      <c r="E5">
        <v>82</v>
      </c>
      <c r="F5">
        <f t="shared" si="0"/>
        <v>261</v>
      </c>
      <c r="G5">
        <f t="shared" si="1"/>
        <v>87</v>
      </c>
      <c r="H5" t="s">
        <v>42</v>
      </c>
    </row>
    <row r="6" spans="1:8" x14ac:dyDescent="0.3">
      <c r="A6">
        <v>105</v>
      </c>
      <c r="B6" t="s">
        <v>9</v>
      </c>
      <c r="C6">
        <v>85</v>
      </c>
      <c r="D6">
        <v>39</v>
      </c>
      <c r="E6">
        <v>63</v>
      </c>
      <c r="F6">
        <f t="shared" si="0"/>
        <v>187</v>
      </c>
      <c r="G6">
        <f t="shared" si="1"/>
        <v>62.333333333333336</v>
      </c>
      <c r="H6" t="s">
        <v>43</v>
      </c>
    </row>
    <row r="7" spans="1:8" x14ac:dyDescent="0.3">
      <c r="A7">
        <v>106</v>
      </c>
      <c r="B7" t="s">
        <v>12</v>
      </c>
      <c r="C7">
        <v>72</v>
      </c>
      <c r="D7">
        <v>62</v>
      </c>
      <c r="E7">
        <v>87</v>
      </c>
      <c r="F7">
        <f t="shared" si="0"/>
        <v>221</v>
      </c>
      <c r="G7">
        <f t="shared" si="1"/>
        <v>73.666666666666671</v>
      </c>
      <c r="H7" t="s">
        <v>43</v>
      </c>
    </row>
    <row r="8" spans="1:8" x14ac:dyDescent="0.3">
      <c r="A8">
        <v>107</v>
      </c>
      <c r="B8" t="s">
        <v>8</v>
      </c>
      <c r="C8">
        <v>57</v>
      </c>
      <c r="D8">
        <v>92</v>
      </c>
      <c r="E8">
        <v>30</v>
      </c>
      <c r="F8">
        <f t="shared" si="0"/>
        <v>179</v>
      </c>
      <c r="G8">
        <f t="shared" si="1"/>
        <v>59.666666666666664</v>
      </c>
      <c r="H8" t="s">
        <v>44</v>
      </c>
    </row>
    <row r="9" spans="1:8" x14ac:dyDescent="0.3">
      <c r="A9">
        <v>108</v>
      </c>
      <c r="B9" t="s">
        <v>9</v>
      </c>
      <c r="C9">
        <v>68</v>
      </c>
      <c r="D9">
        <v>64</v>
      </c>
      <c r="E9">
        <v>92</v>
      </c>
      <c r="F9">
        <f t="shared" si="0"/>
        <v>224</v>
      </c>
      <c r="G9">
        <f t="shared" si="1"/>
        <v>74.666666666666671</v>
      </c>
      <c r="H9" t="s">
        <v>43</v>
      </c>
    </row>
    <row r="10" spans="1:8" x14ac:dyDescent="0.3">
      <c r="A10">
        <v>109</v>
      </c>
      <c r="B10" t="s">
        <v>10</v>
      </c>
      <c r="C10">
        <v>59</v>
      </c>
      <c r="D10">
        <v>74</v>
      </c>
      <c r="E10">
        <v>72</v>
      </c>
      <c r="F10">
        <f t="shared" si="0"/>
        <v>205</v>
      </c>
      <c r="G10">
        <f t="shared" si="1"/>
        <v>68.333333333333329</v>
      </c>
      <c r="H10" t="s">
        <v>43</v>
      </c>
    </row>
    <row r="11" spans="1:8" x14ac:dyDescent="0.3">
      <c r="A11">
        <v>110</v>
      </c>
      <c r="B11" t="s">
        <v>13</v>
      </c>
      <c r="C11">
        <v>42</v>
      </c>
      <c r="D11">
        <v>86</v>
      </c>
      <c r="E11">
        <v>95</v>
      </c>
      <c r="F11">
        <f t="shared" si="0"/>
        <v>223</v>
      </c>
      <c r="G11">
        <f t="shared" si="1"/>
        <v>74.333333333333329</v>
      </c>
      <c r="H11" t="s">
        <v>43</v>
      </c>
    </row>
    <row r="12" spans="1:8" x14ac:dyDescent="0.3">
      <c r="A12">
        <v>111</v>
      </c>
      <c r="B12" t="s">
        <v>9</v>
      </c>
      <c r="C12">
        <v>68</v>
      </c>
      <c r="D12">
        <v>75</v>
      </c>
      <c r="E12">
        <v>95</v>
      </c>
      <c r="F12">
        <f t="shared" si="0"/>
        <v>238</v>
      </c>
      <c r="G12">
        <f t="shared" si="1"/>
        <v>79.333333333333329</v>
      </c>
      <c r="H12" t="s">
        <v>42</v>
      </c>
    </row>
    <row r="13" spans="1:8" x14ac:dyDescent="0.3">
      <c r="A13">
        <v>112</v>
      </c>
      <c r="B13" t="s">
        <v>10</v>
      </c>
      <c r="C13">
        <v>67</v>
      </c>
      <c r="D13">
        <v>84</v>
      </c>
      <c r="E13">
        <v>65</v>
      </c>
      <c r="F13">
        <f t="shared" si="0"/>
        <v>216</v>
      </c>
      <c r="G13">
        <f t="shared" si="1"/>
        <v>72</v>
      </c>
      <c r="H13" t="s">
        <v>43</v>
      </c>
    </row>
    <row r="14" spans="1:8" x14ac:dyDescent="0.3">
      <c r="A14">
        <v>113</v>
      </c>
      <c r="B14" t="s">
        <v>11</v>
      </c>
      <c r="C14">
        <v>88</v>
      </c>
      <c r="D14">
        <v>87</v>
      </c>
      <c r="E14">
        <v>30</v>
      </c>
      <c r="F14">
        <f t="shared" si="0"/>
        <v>205</v>
      </c>
      <c r="G14">
        <f t="shared" si="1"/>
        <v>68.333333333333329</v>
      </c>
      <c r="H14" t="s">
        <v>43</v>
      </c>
    </row>
    <row r="15" spans="1:8" x14ac:dyDescent="0.3">
      <c r="A15">
        <v>114</v>
      </c>
      <c r="B15" t="s">
        <v>14</v>
      </c>
      <c r="C15">
        <v>30</v>
      </c>
      <c r="D15">
        <v>45</v>
      </c>
      <c r="E15">
        <v>65</v>
      </c>
      <c r="F15">
        <f t="shared" si="0"/>
        <v>140</v>
      </c>
      <c r="G15">
        <f t="shared" si="1"/>
        <v>46.666666666666664</v>
      </c>
      <c r="H15" t="s">
        <v>44</v>
      </c>
    </row>
    <row r="16" spans="1:8" x14ac:dyDescent="0.3">
      <c r="A16">
        <v>115</v>
      </c>
      <c r="B16" t="s">
        <v>12</v>
      </c>
      <c r="C16">
        <v>100</v>
      </c>
      <c r="D16">
        <v>94</v>
      </c>
      <c r="E16">
        <v>50</v>
      </c>
      <c r="F16">
        <f t="shared" si="0"/>
        <v>244</v>
      </c>
      <c r="G16">
        <f t="shared" si="1"/>
        <v>81.333333333333329</v>
      </c>
      <c r="H16" t="s">
        <v>42</v>
      </c>
    </row>
    <row r="17" spans="1:8" x14ac:dyDescent="0.3">
      <c r="A17">
        <v>116</v>
      </c>
      <c r="B17" t="s">
        <v>12</v>
      </c>
      <c r="C17">
        <v>70</v>
      </c>
      <c r="D17">
        <v>36</v>
      </c>
      <c r="E17">
        <v>72</v>
      </c>
      <c r="F17">
        <f t="shared" si="0"/>
        <v>178</v>
      </c>
      <c r="G17">
        <f t="shared" si="1"/>
        <v>59.333333333333336</v>
      </c>
      <c r="H17" t="s">
        <v>45</v>
      </c>
    </row>
    <row r="18" spans="1:8" x14ac:dyDescent="0.3">
      <c r="A18">
        <v>117</v>
      </c>
      <c r="B18" t="s">
        <v>13</v>
      </c>
      <c r="C18">
        <v>43</v>
      </c>
      <c r="D18">
        <v>66</v>
      </c>
      <c r="E18">
        <v>60</v>
      </c>
      <c r="F18">
        <f t="shared" si="0"/>
        <v>169</v>
      </c>
      <c r="G18">
        <f t="shared" si="1"/>
        <v>56.333333333333336</v>
      </c>
      <c r="H18" t="s">
        <v>44</v>
      </c>
    </row>
    <row r="19" spans="1:8" x14ac:dyDescent="0.3">
      <c r="A19">
        <v>118</v>
      </c>
      <c r="B19" t="s">
        <v>9</v>
      </c>
      <c r="C19">
        <v>71</v>
      </c>
      <c r="D19">
        <v>89</v>
      </c>
      <c r="E19">
        <v>42</v>
      </c>
      <c r="F19">
        <f t="shared" si="0"/>
        <v>202</v>
      </c>
      <c r="G19">
        <f t="shared" si="1"/>
        <v>67.333333333333329</v>
      </c>
      <c r="H19" t="s">
        <v>43</v>
      </c>
    </row>
    <row r="20" spans="1:8" x14ac:dyDescent="0.3">
      <c r="A20">
        <v>119</v>
      </c>
      <c r="B20" t="s">
        <v>14</v>
      </c>
      <c r="C20">
        <v>77</v>
      </c>
      <c r="D20">
        <v>34</v>
      </c>
      <c r="E20">
        <v>43</v>
      </c>
      <c r="F20">
        <f t="shared" si="0"/>
        <v>154</v>
      </c>
      <c r="G20">
        <f t="shared" si="1"/>
        <v>51.333333333333336</v>
      </c>
      <c r="H20" t="str">
        <f t="shared" ref="H20:H65" si="2">IF(G20&gt;=80,"A",IF(G20&gt;=60,"B",IF(G20&gt;=40,"C","F")))</f>
        <v>C</v>
      </c>
    </row>
    <row r="21" spans="1:8" x14ac:dyDescent="0.3">
      <c r="A21">
        <v>120</v>
      </c>
      <c r="B21" t="s">
        <v>10</v>
      </c>
      <c r="C21">
        <v>55</v>
      </c>
      <c r="D21">
        <v>70</v>
      </c>
      <c r="E21">
        <v>37</v>
      </c>
      <c r="F21">
        <f t="shared" si="0"/>
        <v>162</v>
      </c>
      <c r="G21">
        <f t="shared" si="1"/>
        <v>54</v>
      </c>
      <c r="H21" t="str">
        <f t="shared" si="2"/>
        <v>C</v>
      </c>
    </row>
    <row r="22" spans="1:8" x14ac:dyDescent="0.3">
      <c r="A22">
        <v>121</v>
      </c>
      <c r="B22" t="s">
        <v>9</v>
      </c>
      <c r="C22">
        <v>39</v>
      </c>
      <c r="D22">
        <v>82</v>
      </c>
      <c r="E22">
        <v>89</v>
      </c>
      <c r="F22">
        <f t="shared" si="0"/>
        <v>210</v>
      </c>
      <c r="G22">
        <f t="shared" si="1"/>
        <v>70</v>
      </c>
      <c r="H22" t="str">
        <f t="shared" si="2"/>
        <v>B</v>
      </c>
    </row>
    <row r="23" spans="1:8" x14ac:dyDescent="0.3">
      <c r="A23">
        <v>122</v>
      </c>
      <c r="B23" t="s">
        <v>12</v>
      </c>
      <c r="C23">
        <v>76</v>
      </c>
      <c r="D23">
        <v>36</v>
      </c>
      <c r="E23">
        <v>31</v>
      </c>
      <c r="F23">
        <f t="shared" si="0"/>
        <v>143</v>
      </c>
      <c r="G23">
        <f t="shared" si="1"/>
        <v>47.666666666666664</v>
      </c>
      <c r="H23" t="str">
        <f t="shared" si="2"/>
        <v>C</v>
      </c>
    </row>
    <row r="24" spans="1:8" x14ac:dyDescent="0.3">
      <c r="A24">
        <v>123</v>
      </c>
      <c r="B24" t="s">
        <v>14</v>
      </c>
      <c r="C24">
        <v>100</v>
      </c>
      <c r="D24">
        <v>74</v>
      </c>
      <c r="E24">
        <v>43</v>
      </c>
      <c r="F24">
        <f t="shared" si="0"/>
        <v>217</v>
      </c>
      <c r="G24">
        <f t="shared" si="1"/>
        <v>72.333333333333329</v>
      </c>
      <c r="H24" t="str">
        <f t="shared" si="2"/>
        <v>B</v>
      </c>
    </row>
    <row r="25" spans="1:8" x14ac:dyDescent="0.3">
      <c r="A25">
        <v>124</v>
      </c>
      <c r="B25" t="s">
        <v>9</v>
      </c>
      <c r="C25">
        <v>62</v>
      </c>
      <c r="D25">
        <v>68</v>
      </c>
      <c r="E25">
        <v>54</v>
      </c>
      <c r="F25">
        <f t="shared" si="0"/>
        <v>184</v>
      </c>
      <c r="G25">
        <f t="shared" si="1"/>
        <v>61.333333333333336</v>
      </c>
      <c r="H25" t="str">
        <f t="shared" si="2"/>
        <v>B</v>
      </c>
    </row>
    <row r="26" spans="1:8" x14ac:dyDescent="0.3">
      <c r="A26">
        <v>125</v>
      </c>
      <c r="B26" t="s">
        <v>10</v>
      </c>
      <c r="C26">
        <v>99</v>
      </c>
      <c r="D26">
        <v>53</v>
      </c>
      <c r="E26">
        <v>100</v>
      </c>
      <c r="F26">
        <f t="shared" si="0"/>
        <v>252</v>
      </c>
      <c r="G26">
        <f t="shared" si="1"/>
        <v>84</v>
      </c>
      <c r="H26" t="str">
        <f t="shared" si="2"/>
        <v>A</v>
      </c>
    </row>
    <row r="27" spans="1:8" x14ac:dyDescent="0.3">
      <c r="A27">
        <v>126</v>
      </c>
      <c r="B27" t="s">
        <v>11</v>
      </c>
      <c r="C27">
        <v>33</v>
      </c>
      <c r="D27">
        <v>31</v>
      </c>
      <c r="E27">
        <v>53</v>
      </c>
      <c r="F27">
        <f t="shared" si="0"/>
        <v>117</v>
      </c>
      <c r="G27">
        <f t="shared" si="1"/>
        <v>39</v>
      </c>
      <c r="H27" t="str">
        <f t="shared" si="2"/>
        <v>F</v>
      </c>
    </row>
    <row r="28" spans="1:8" x14ac:dyDescent="0.3">
      <c r="A28">
        <v>127</v>
      </c>
      <c r="B28" t="s">
        <v>9</v>
      </c>
      <c r="C28">
        <v>30</v>
      </c>
      <c r="D28">
        <v>56</v>
      </c>
      <c r="E28">
        <v>98</v>
      </c>
      <c r="F28">
        <f t="shared" si="0"/>
        <v>184</v>
      </c>
      <c r="G28">
        <f t="shared" si="1"/>
        <v>61.333333333333336</v>
      </c>
      <c r="H28" t="str">
        <f t="shared" si="2"/>
        <v>B</v>
      </c>
    </row>
    <row r="29" spans="1:8" x14ac:dyDescent="0.3">
      <c r="A29">
        <v>128</v>
      </c>
      <c r="B29" t="s">
        <v>11</v>
      </c>
      <c r="C29">
        <v>99</v>
      </c>
      <c r="D29">
        <v>33</v>
      </c>
      <c r="E29">
        <v>86</v>
      </c>
      <c r="F29">
        <f t="shared" si="0"/>
        <v>218</v>
      </c>
      <c r="G29">
        <f t="shared" si="1"/>
        <v>72.666666666666671</v>
      </c>
      <c r="H29" t="str">
        <f t="shared" si="2"/>
        <v>B</v>
      </c>
    </row>
    <row r="30" spans="1:8" x14ac:dyDescent="0.3">
      <c r="A30">
        <v>129</v>
      </c>
      <c r="B30" t="s">
        <v>8</v>
      </c>
      <c r="C30">
        <v>54</v>
      </c>
      <c r="D30">
        <v>86</v>
      </c>
      <c r="E30">
        <v>32</v>
      </c>
      <c r="F30">
        <f t="shared" si="0"/>
        <v>172</v>
      </c>
      <c r="G30">
        <f t="shared" si="1"/>
        <v>57.333333333333336</v>
      </c>
      <c r="H30" t="str">
        <f t="shared" si="2"/>
        <v>C</v>
      </c>
    </row>
    <row r="31" spans="1:8" x14ac:dyDescent="0.3">
      <c r="A31">
        <v>130</v>
      </c>
      <c r="B31" t="s">
        <v>9</v>
      </c>
      <c r="C31">
        <v>51</v>
      </c>
      <c r="D31">
        <v>83</v>
      </c>
      <c r="E31">
        <v>82</v>
      </c>
      <c r="F31">
        <f t="shared" si="0"/>
        <v>216</v>
      </c>
      <c r="G31">
        <f t="shared" si="1"/>
        <v>72</v>
      </c>
      <c r="H31" t="str">
        <f t="shared" si="2"/>
        <v>B</v>
      </c>
    </row>
    <row r="32" spans="1:8" x14ac:dyDescent="0.3">
      <c r="A32">
        <v>131</v>
      </c>
      <c r="B32" t="s">
        <v>8</v>
      </c>
      <c r="C32">
        <v>72</v>
      </c>
      <c r="D32">
        <v>92</v>
      </c>
      <c r="E32">
        <v>77</v>
      </c>
      <c r="F32">
        <f t="shared" si="0"/>
        <v>241</v>
      </c>
      <c r="G32">
        <f t="shared" si="1"/>
        <v>80.333333333333329</v>
      </c>
      <c r="H32" t="str">
        <f t="shared" si="2"/>
        <v>A</v>
      </c>
    </row>
    <row r="33" spans="1:8" x14ac:dyDescent="0.3">
      <c r="A33">
        <v>132</v>
      </c>
      <c r="B33" t="s">
        <v>11</v>
      </c>
      <c r="C33">
        <v>95</v>
      </c>
      <c r="D33">
        <v>59</v>
      </c>
      <c r="E33">
        <v>88</v>
      </c>
      <c r="F33">
        <f t="shared" si="0"/>
        <v>242</v>
      </c>
      <c r="G33">
        <f t="shared" si="1"/>
        <v>80.666666666666671</v>
      </c>
      <c r="H33" t="str">
        <f t="shared" si="2"/>
        <v>A</v>
      </c>
    </row>
    <row r="34" spans="1:8" x14ac:dyDescent="0.3">
      <c r="A34">
        <v>133</v>
      </c>
      <c r="B34" t="s">
        <v>14</v>
      </c>
      <c r="C34">
        <v>77</v>
      </c>
      <c r="D34">
        <v>33</v>
      </c>
      <c r="E34">
        <v>33</v>
      </c>
      <c r="F34">
        <f t="shared" si="0"/>
        <v>143</v>
      </c>
      <c r="G34">
        <f t="shared" si="1"/>
        <v>47.666666666666664</v>
      </c>
      <c r="H34" t="str">
        <f t="shared" si="2"/>
        <v>C</v>
      </c>
    </row>
    <row r="35" spans="1:8" x14ac:dyDescent="0.3">
      <c r="A35">
        <v>134</v>
      </c>
      <c r="B35" t="s">
        <v>11</v>
      </c>
      <c r="C35">
        <v>54</v>
      </c>
      <c r="D35">
        <v>42</v>
      </c>
      <c r="E35">
        <v>94</v>
      </c>
      <c r="F35">
        <f t="shared" si="0"/>
        <v>190</v>
      </c>
      <c r="G35">
        <f t="shared" si="1"/>
        <v>63.333333333333336</v>
      </c>
      <c r="H35" t="str">
        <f t="shared" si="2"/>
        <v>B</v>
      </c>
    </row>
    <row r="36" spans="1:8" x14ac:dyDescent="0.3">
      <c r="A36">
        <v>135</v>
      </c>
      <c r="B36" t="s">
        <v>11</v>
      </c>
      <c r="C36">
        <v>61</v>
      </c>
      <c r="D36">
        <v>100</v>
      </c>
      <c r="E36">
        <v>49</v>
      </c>
      <c r="F36">
        <f t="shared" si="0"/>
        <v>210</v>
      </c>
      <c r="G36">
        <f t="shared" si="1"/>
        <v>70</v>
      </c>
      <c r="H36" t="str">
        <f t="shared" si="2"/>
        <v>B</v>
      </c>
    </row>
    <row r="37" spans="1:8" x14ac:dyDescent="0.3">
      <c r="A37">
        <v>136</v>
      </c>
      <c r="B37" t="s">
        <v>15</v>
      </c>
      <c r="C37">
        <v>79</v>
      </c>
      <c r="D37">
        <v>81</v>
      </c>
      <c r="E37">
        <v>100</v>
      </c>
      <c r="F37">
        <f t="shared" si="0"/>
        <v>260</v>
      </c>
      <c r="G37">
        <f t="shared" si="1"/>
        <v>86.666666666666671</v>
      </c>
      <c r="H37" t="str">
        <f t="shared" si="2"/>
        <v>A</v>
      </c>
    </row>
    <row r="38" spans="1:8" x14ac:dyDescent="0.3">
      <c r="A38">
        <v>137</v>
      </c>
      <c r="B38" t="s">
        <v>10</v>
      </c>
      <c r="C38">
        <v>41</v>
      </c>
      <c r="D38">
        <v>36</v>
      </c>
      <c r="E38">
        <v>58</v>
      </c>
      <c r="F38">
        <f t="shared" si="0"/>
        <v>135</v>
      </c>
      <c r="G38">
        <f t="shared" si="1"/>
        <v>45</v>
      </c>
      <c r="H38" t="str">
        <f t="shared" si="2"/>
        <v>C</v>
      </c>
    </row>
    <row r="39" spans="1:8" x14ac:dyDescent="0.3">
      <c r="A39">
        <v>138</v>
      </c>
      <c r="B39" t="s">
        <v>14</v>
      </c>
      <c r="C39">
        <v>85</v>
      </c>
      <c r="D39">
        <v>41</v>
      </c>
      <c r="E39">
        <v>92</v>
      </c>
      <c r="F39">
        <f t="shared" si="0"/>
        <v>218</v>
      </c>
      <c r="G39">
        <f t="shared" si="1"/>
        <v>72.666666666666671</v>
      </c>
      <c r="H39" t="str">
        <f t="shared" si="2"/>
        <v>B</v>
      </c>
    </row>
    <row r="40" spans="1:8" x14ac:dyDescent="0.3">
      <c r="A40">
        <v>139</v>
      </c>
      <c r="B40" t="s">
        <v>15</v>
      </c>
      <c r="C40">
        <v>40</v>
      </c>
      <c r="D40">
        <v>77</v>
      </c>
      <c r="E40">
        <v>40</v>
      </c>
      <c r="F40">
        <f t="shared" si="0"/>
        <v>157</v>
      </c>
      <c r="G40">
        <f t="shared" si="1"/>
        <v>52.333333333333336</v>
      </c>
      <c r="H40" t="str">
        <f t="shared" si="2"/>
        <v>C</v>
      </c>
    </row>
    <row r="41" spans="1:8" x14ac:dyDescent="0.3">
      <c r="A41">
        <v>140</v>
      </c>
      <c r="B41" t="s">
        <v>10</v>
      </c>
      <c r="C41">
        <v>32</v>
      </c>
      <c r="D41">
        <v>67</v>
      </c>
      <c r="E41">
        <v>93</v>
      </c>
      <c r="F41">
        <f t="shared" si="0"/>
        <v>192</v>
      </c>
      <c r="G41">
        <f t="shared" si="1"/>
        <v>64</v>
      </c>
      <c r="H41" t="str">
        <f t="shared" si="2"/>
        <v>B</v>
      </c>
    </row>
    <row r="42" spans="1:8" x14ac:dyDescent="0.3">
      <c r="A42">
        <v>141</v>
      </c>
      <c r="B42" t="s">
        <v>12</v>
      </c>
      <c r="C42">
        <v>52</v>
      </c>
      <c r="D42">
        <v>77</v>
      </c>
      <c r="E42">
        <v>55</v>
      </c>
      <c r="F42">
        <f t="shared" si="0"/>
        <v>184</v>
      </c>
      <c r="G42">
        <f t="shared" si="1"/>
        <v>61.333333333333336</v>
      </c>
      <c r="H42" t="str">
        <f t="shared" si="2"/>
        <v>B</v>
      </c>
    </row>
    <row r="43" spans="1:8" x14ac:dyDescent="0.3">
      <c r="A43">
        <v>142</v>
      </c>
      <c r="B43" t="s">
        <v>12</v>
      </c>
      <c r="C43">
        <v>44</v>
      </c>
      <c r="D43">
        <v>36</v>
      </c>
      <c r="E43">
        <v>96</v>
      </c>
      <c r="F43">
        <f t="shared" si="0"/>
        <v>176</v>
      </c>
      <c r="G43">
        <f t="shared" si="1"/>
        <v>58.666666666666664</v>
      </c>
      <c r="H43" t="str">
        <f t="shared" si="2"/>
        <v>C</v>
      </c>
    </row>
    <row r="44" spans="1:8" x14ac:dyDescent="0.3">
      <c r="A44">
        <v>143</v>
      </c>
      <c r="B44" t="s">
        <v>11</v>
      </c>
      <c r="C44">
        <v>41</v>
      </c>
      <c r="D44">
        <v>57</v>
      </c>
      <c r="E44">
        <v>95</v>
      </c>
      <c r="F44">
        <f t="shared" si="0"/>
        <v>193</v>
      </c>
      <c r="G44">
        <f t="shared" si="1"/>
        <v>64.333333333333329</v>
      </c>
      <c r="H44" t="str">
        <f t="shared" si="2"/>
        <v>B</v>
      </c>
    </row>
    <row r="45" spans="1:8" x14ac:dyDescent="0.3">
      <c r="A45">
        <v>144</v>
      </c>
      <c r="B45" t="s">
        <v>9</v>
      </c>
      <c r="C45">
        <v>71</v>
      </c>
      <c r="D45">
        <v>96</v>
      </c>
      <c r="E45">
        <v>38</v>
      </c>
      <c r="F45">
        <f t="shared" si="0"/>
        <v>205</v>
      </c>
      <c r="G45">
        <f t="shared" si="1"/>
        <v>68.333333333333329</v>
      </c>
      <c r="H45" t="str">
        <f t="shared" si="2"/>
        <v>B</v>
      </c>
    </row>
    <row r="46" spans="1:8" x14ac:dyDescent="0.3">
      <c r="A46">
        <v>145</v>
      </c>
      <c r="B46" t="s">
        <v>8</v>
      </c>
      <c r="C46">
        <v>99</v>
      </c>
      <c r="D46">
        <v>97</v>
      </c>
      <c r="E46">
        <v>67</v>
      </c>
      <c r="F46">
        <f t="shared" si="0"/>
        <v>263</v>
      </c>
      <c r="G46">
        <f t="shared" si="1"/>
        <v>87.666666666666671</v>
      </c>
      <c r="H46" t="str">
        <f t="shared" si="2"/>
        <v>A</v>
      </c>
    </row>
    <row r="47" spans="1:8" x14ac:dyDescent="0.3">
      <c r="A47">
        <v>146</v>
      </c>
      <c r="B47" t="s">
        <v>13</v>
      </c>
      <c r="C47">
        <v>36</v>
      </c>
      <c r="D47">
        <v>82</v>
      </c>
      <c r="E47">
        <v>77</v>
      </c>
      <c r="F47">
        <f t="shared" si="0"/>
        <v>195</v>
      </c>
      <c r="G47">
        <f t="shared" si="1"/>
        <v>65</v>
      </c>
      <c r="H47" t="str">
        <f t="shared" si="2"/>
        <v>B</v>
      </c>
    </row>
    <row r="48" spans="1:8" x14ac:dyDescent="0.3">
      <c r="A48">
        <v>147</v>
      </c>
      <c r="B48" t="s">
        <v>8</v>
      </c>
      <c r="C48">
        <v>49</v>
      </c>
      <c r="D48">
        <v>77</v>
      </c>
      <c r="E48">
        <v>93</v>
      </c>
      <c r="F48">
        <f t="shared" si="0"/>
        <v>219</v>
      </c>
      <c r="G48">
        <f t="shared" si="1"/>
        <v>73</v>
      </c>
      <c r="H48" t="str">
        <f t="shared" si="2"/>
        <v>B</v>
      </c>
    </row>
    <row r="49" spans="1:8" x14ac:dyDescent="0.3">
      <c r="A49">
        <v>148</v>
      </c>
      <c r="B49" t="s">
        <v>11</v>
      </c>
      <c r="C49">
        <v>96</v>
      </c>
      <c r="D49">
        <v>96</v>
      </c>
      <c r="E49">
        <v>54</v>
      </c>
      <c r="F49">
        <f t="shared" si="0"/>
        <v>246</v>
      </c>
      <c r="G49">
        <f t="shared" si="1"/>
        <v>82</v>
      </c>
      <c r="H49" t="str">
        <f t="shared" si="2"/>
        <v>A</v>
      </c>
    </row>
    <row r="50" spans="1:8" x14ac:dyDescent="0.3">
      <c r="A50">
        <v>149</v>
      </c>
      <c r="B50" t="s">
        <v>14</v>
      </c>
      <c r="C50">
        <v>98</v>
      </c>
      <c r="D50">
        <v>51</v>
      </c>
      <c r="E50">
        <v>51</v>
      </c>
      <c r="F50">
        <f t="shared" si="0"/>
        <v>200</v>
      </c>
      <c r="G50">
        <f t="shared" si="1"/>
        <v>66.666666666666671</v>
      </c>
      <c r="H50" t="str">
        <f t="shared" si="2"/>
        <v>B</v>
      </c>
    </row>
    <row r="51" spans="1:8" x14ac:dyDescent="0.3">
      <c r="A51">
        <v>150</v>
      </c>
      <c r="B51" t="s">
        <v>12</v>
      </c>
      <c r="C51">
        <v>64</v>
      </c>
      <c r="D51">
        <v>62</v>
      </c>
      <c r="E51">
        <v>41</v>
      </c>
      <c r="F51">
        <f t="shared" si="0"/>
        <v>167</v>
      </c>
      <c r="G51">
        <f t="shared" si="1"/>
        <v>55.666666666666664</v>
      </c>
      <c r="H51" t="str">
        <f t="shared" si="2"/>
        <v>C</v>
      </c>
    </row>
    <row r="52" spans="1:8" x14ac:dyDescent="0.3">
      <c r="A52">
        <v>151</v>
      </c>
      <c r="B52" t="s">
        <v>15</v>
      </c>
      <c r="C52">
        <v>98</v>
      </c>
      <c r="D52">
        <v>91</v>
      </c>
      <c r="E52">
        <v>65</v>
      </c>
      <c r="F52">
        <f t="shared" si="0"/>
        <v>254</v>
      </c>
      <c r="G52">
        <f t="shared" si="1"/>
        <v>84.666666666666671</v>
      </c>
      <c r="H52" t="str">
        <f t="shared" si="2"/>
        <v>A</v>
      </c>
    </row>
    <row r="53" spans="1:8" x14ac:dyDescent="0.3">
      <c r="A53">
        <v>152</v>
      </c>
      <c r="B53" t="s">
        <v>13</v>
      </c>
      <c r="C53">
        <v>32</v>
      </c>
      <c r="D53">
        <v>96</v>
      </c>
      <c r="E53">
        <v>35</v>
      </c>
      <c r="F53">
        <f t="shared" si="0"/>
        <v>163</v>
      </c>
      <c r="G53">
        <f t="shared" si="1"/>
        <v>54.333333333333336</v>
      </c>
      <c r="H53" t="str">
        <f t="shared" si="2"/>
        <v>C</v>
      </c>
    </row>
    <row r="54" spans="1:8" x14ac:dyDescent="0.3">
      <c r="A54">
        <v>153</v>
      </c>
      <c r="B54" t="s">
        <v>9</v>
      </c>
      <c r="C54">
        <v>78</v>
      </c>
      <c r="D54">
        <v>74</v>
      </c>
      <c r="E54">
        <v>66</v>
      </c>
      <c r="F54">
        <f t="shared" si="0"/>
        <v>218</v>
      </c>
      <c r="G54">
        <f t="shared" si="1"/>
        <v>72.666666666666671</v>
      </c>
      <c r="H54" t="str">
        <f t="shared" si="2"/>
        <v>B</v>
      </c>
    </row>
    <row r="55" spans="1:8" x14ac:dyDescent="0.3">
      <c r="A55">
        <v>154</v>
      </c>
      <c r="B55" t="s">
        <v>14</v>
      </c>
      <c r="C55">
        <v>32</v>
      </c>
      <c r="D55">
        <v>84</v>
      </c>
      <c r="E55">
        <v>46</v>
      </c>
      <c r="F55">
        <f t="shared" si="0"/>
        <v>162</v>
      </c>
      <c r="G55">
        <f t="shared" si="1"/>
        <v>54</v>
      </c>
      <c r="H55" t="str">
        <f t="shared" si="2"/>
        <v>C</v>
      </c>
    </row>
    <row r="56" spans="1:8" x14ac:dyDescent="0.3">
      <c r="A56">
        <v>155</v>
      </c>
      <c r="B56" t="s">
        <v>11</v>
      </c>
      <c r="C56">
        <v>39</v>
      </c>
      <c r="D56">
        <v>59</v>
      </c>
      <c r="E56">
        <v>99</v>
      </c>
      <c r="F56">
        <f t="shared" si="0"/>
        <v>197</v>
      </c>
      <c r="G56">
        <f t="shared" si="1"/>
        <v>65.666666666666671</v>
      </c>
      <c r="H56" t="str">
        <f t="shared" si="2"/>
        <v>B</v>
      </c>
    </row>
    <row r="57" spans="1:8" x14ac:dyDescent="0.3">
      <c r="A57">
        <v>156</v>
      </c>
      <c r="B57" t="s">
        <v>15</v>
      </c>
      <c r="C57">
        <v>65</v>
      </c>
      <c r="D57">
        <v>50</v>
      </c>
      <c r="E57">
        <v>85</v>
      </c>
      <c r="F57">
        <f t="shared" si="0"/>
        <v>200</v>
      </c>
      <c r="G57">
        <f t="shared" si="1"/>
        <v>66.666666666666671</v>
      </c>
      <c r="H57" t="str">
        <f t="shared" si="2"/>
        <v>B</v>
      </c>
    </row>
    <row r="58" spans="1:8" x14ac:dyDescent="0.3">
      <c r="A58">
        <v>157</v>
      </c>
      <c r="B58" t="s">
        <v>13</v>
      </c>
      <c r="C58">
        <v>85</v>
      </c>
      <c r="D58">
        <v>70</v>
      </c>
      <c r="E58">
        <v>52</v>
      </c>
      <c r="F58">
        <f t="shared" si="0"/>
        <v>207</v>
      </c>
      <c r="G58">
        <f t="shared" si="1"/>
        <v>69</v>
      </c>
      <c r="H58" t="str">
        <f t="shared" si="2"/>
        <v>B</v>
      </c>
    </row>
    <row r="59" spans="1:8" x14ac:dyDescent="0.3">
      <c r="A59">
        <v>158</v>
      </c>
      <c r="B59" t="s">
        <v>15</v>
      </c>
      <c r="C59">
        <v>59</v>
      </c>
      <c r="D59">
        <v>58</v>
      </c>
      <c r="E59">
        <v>47</v>
      </c>
      <c r="F59">
        <f t="shared" si="0"/>
        <v>164</v>
      </c>
      <c r="G59">
        <f t="shared" si="1"/>
        <v>54.666666666666664</v>
      </c>
      <c r="H59" t="str">
        <f t="shared" si="2"/>
        <v>C</v>
      </c>
    </row>
    <row r="60" spans="1:8" x14ac:dyDescent="0.3">
      <c r="A60">
        <v>159</v>
      </c>
      <c r="B60" t="s">
        <v>12</v>
      </c>
      <c r="C60">
        <v>32</v>
      </c>
      <c r="D60">
        <v>58</v>
      </c>
      <c r="E60">
        <v>93</v>
      </c>
      <c r="F60">
        <f t="shared" si="0"/>
        <v>183</v>
      </c>
      <c r="G60">
        <f t="shared" si="1"/>
        <v>61</v>
      </c>
      <c r="H60" t="str">
        <f t="shared" si="2"/>
        <v>B</v>
      </c>
    </row>
    <row r="61" spans="1:8" x14ac:dyDescent="0.3">
      <c r="A61">
        <v>160</v>
      </c>
      <c r="B61" t="s">
        <v>12</v>
      </c>
      <c r="C61">
        <v>81</v>
      </c>
      <c r="D61">
        <v>50</v>
      </c>
      <c r="E61">
        <v>35</v>
      </c>
      <c r="F61">
        <f t="shared" si="0"/>
        <v>166</v>
      </c>
      <c r="G61">
        <f t="shared" si="1"/>
        <v>55.333333333333336</v>
      </c>
      <c r="H61" t="str">
        <f t="shared" si="2"/>
        <v>C</v>
      </c>
    </row>
    <row r="62" spans="1:8" x14ac:dyDescent="0.3">
      <c r="A62">
        <v>161</v>
      </c>
      <c r="B62" t="s">
        <v>13</v>
      </c>
      <c r="C62">
        <v>43</v>
      </c>
      <c r="D62">
        <v>80</v>
      </c>
      <c r="E62">
        <v>47</v>
      </c>
      <c r="F62">
        <f t="shared" si="0"/>
        <v>170</v>
      </c>
      <c r="G62">
        <f t="shared" si="1"/>
        <v>56.666666666666664</v>
      </c>
      <c r="H62" t="str">
        <f t="shared" si="2"/>
        <v>C</v>
      </c>
    </row>
    <row r="63" spans="1:8" x14ac:dyDescent="0.3">
      <c r="A63">
        <v>162</v>
      </c>
      <c r="B63" t="s">
        <v>9</v>
      </c>
      <c r="C63">
        <v>72</v>
      </c>
      <c r="D63">
        <v>42</v>
      </c>
      <c r="E63">
        <v>84</v>
      </c>
      <c r="F63">
        <f t="shared" si="0"/>
        <v>198</v>
      </c>
      <c r="G63">
        <f t="shared" si="1"/>
        <v>66</v>
      </c>
      <c r="H63" t="str">
        <f t="shared" si="2"/>
        <v>B</v>
      </c>
    </row>
    <row r="64" spans="1:8" x14ac:dyDescent="0.3">
      <c r="A64">
        <v>163</v>
      </c>
      <c r="B64" t="s">
        <v>14</v>
      </c>
      <c r="C64">
        <v>96</v>
      </c>
      <c r="D64">
        <v>32</v>
      </c>
      <c r="E64">
        <v>67</v>
      </c>
      <c r="F64">
        <f t="shared" si="0"/>
        <v>195</v>
      </c>
      <c r="G64">
        <f t="shared" si="1"/>
        <v>65</v>
      </c>
      <c r="H64" t="str">
        <f t="shared" si="2"/>
        <v>B</v>
      </c>
    </row>
    <row r="65" spans="1:8" x14ac:dyDescent="0.3">
      <c r="A65">
        <v>164</v>
      </c>
      <c r="B65" t="s">
        <v>9</v>
      </c>
      <c r="C65">
        <v>96</v>
      </c>
      <c r="D65">
        <v>85</v>
      </c>
      <c r="E65">
        <v>93</v>
      </c>
      <c r="F65">
        <f t="shared" si="0"/>
        <v>274</v>
      </c>
      <c r="G65">
        <f t="shared" si="1"/>
        <v>91.333333333333329</v>
      </c>
      <c r="H65" t="str">
        <f t="shared" si="2"/>
        <v>A</v>
      </c>
    </row>
    <row r="66" spans="1:8" x14ac:dyDescent="0.3">
      <c r="A66">
        <v>165</v>
      </c>
      <c r="B66" t="s">
        <v>15</v>
      </c>
      <c r="C66">
        <v>37</v>
      </c>
      <c r="D66">
        <v>87</v>
      </c>
      <c r="E66">
        <v>85</v>
      </c>
      <c r="F66">
        <f t="shared" ref="F66:F129" si="3">SUM(C66:E66)</f>
        <v>209</v>
      </c>
      <c r="G66">
        <f t="shared" ref="G66:G129" si="4">F66/3</f>
        <v>69.666666666666671</v>
      </c>
      <c r="H66" t="str">
        <f t="shared" ref="H66:H129" si="5">IF(G66&gt;=80,"A",IF(G66&gt;=60,"B",IF(G66&gt;=40,"C","F")))</f>
        <v>B</v>
      </c>
    </row>
    <row r="67" spans="1:8" x14ac:dyDescent="0.3">
      <c r="A67">
        <v>166</v>
      </c>
      <c r="B67" t="s">
        <v>14</v>
      </c>
      <c r="C67">
        <v>41</v>
      </c>
      <c r="D67">
        <v>65</v>
      </c>
      <c r="E67">
        <v>32</v>
      </c>
      <c r="F67">
        <f t="shared" si="3"/>
        <v>138</v>
      </c>
      <c r="G67">
        <f t="shared" si="4"/>
        <v>46</v>
      </c>
      <c r="H67" t="str">
        <f t="shared" si="5"/>
        <v>C</v>
      </c>
    </row>
    <row r="68" spans="1:8" x14ac:dyDescent="0.3">
      <c r="A68">
        <v>167</v>
      </c>
      <c r="B68" t="s">
        <v>14</v>
      </c>
      <c r="C68">
        <v>67</v>
      </c>
      <c r="D68">
        <v>71</v>
      </c>
      <c r="E68">
        <v>61</v>
      </c>
      <c r="F68">
        <f t="shared" si="3"/>
        <v>199</v>
      </c>
      <c r="G68">
        <f t="shared" si="4"/>
        <v>66.333333333333329</v>
      </c>
      <c r="H68" t="str">
        <f t="shared" si="5"/>
        <v>B</v>
      </c>
    </row>
    <row r="69" spans="1:8" x14ac:dyDescent="0.3">
      <c r="A69">
        <v>168</v>
      </c>
      <c r="B69" t="s">
        <v>13</v>
      </c>
      <c r="C69">
        <v>72</v>
      </c>
      <c r="D69">
        <v>57</v>
      </c>
      <c r="E69">
        <v>81</v>
      </c>
      <c r="F69">
        <f t="shared" si="3"/>
        <v>210</v>
      </c>
      <c r="G69">
        <f t="shared" si="4"/>
        <v>70</v>
      </c>
      <c r="H69" t="str">
        <f t="shared" si="5"/>
        <v>B</v>
      </c>
    </row>
    <row r="70" spans="1:8" x14ac:dyDescent="0.3">
      <c r="A70">
        <v>169</v>
      </c>
      <c r="B70" t="s">
        <v>9</v>
      </c>
      <c r="C70">
        <v>98</v>
      </c>
      <c r="D70">
        <v>56</v>
      </c>
      <c r="E70">
        <v>89</v>
      </c>
      <c r="F70">
        <f t="shared" si="3"/>
        <v>243</v>
      </c>
      <c r="G70">
        <f t="shared" si="4"/>
        <v>81</v>
      </c>
      <c r="H70" t="str">
        <f t="shared" si="5"/>
        <v>A</v>
      </c>
    </row>
    <row r="71" spans="1:8" x14ac:dyDescent="0.3">
      <c r="A71">
        <v>170</v>
      </c>
      <c r="B71" t="s">
        <v>9</v>
      </c>
      <c r="C71">
        <v>50</v>
      </c>
      <c r="D71">
        <v>61</v>
      </c>
      <c r="E71">
        <v>85</v>
      </c>
      <c r="F71">
        <f t="shared" si="3"/>
        <v>196</v>
      </c>
      <c r="G71">
        <f t="shared" si="4"/>
        <v>65.333333333333329</v>
      </c>
      <c r="H71" t="str">
        <f t="shared" si="5"/>
        <v>B</v>
      </c>
    </row>
    <row r="72" spans="1:8" x14ac:dyDescent="0.3">
      <c r="A72">
        <v>171</v>
      </c>
      <c r="B72" t="s">
        <v>14</v>
      </c>
      <c r="C72">
        <v>50</v>
      </c>
      <c r="D72">
        <v>83</v>
      </c>
      <c r="E72">
        <v>36</v>
      </c>
      <c r="F72">
        <f t="shared" si="3"/>
        <v>169</v>
      </c>
      <c r="G72">
        <f t="shared" si="4"/>
        <v>56.333333333333336</v>
      </c>
      <c r="H72" t="str">
        <f t="shared" si="5"/>
        <v>C</v>
      </c>
    </row>
    <row r="73" spans="1:8" x14ac:dyDescent="0.3">
      <c r="A73">
        <v>172</v>
      </c>
      <c r="B73" t="s">
        <v>15</v>
      </c>
      <c r="C73">
        <v>48</v>
      </c>
      <c r="D73">
        <v>41</v>
      </c>
      <c r="E73">
        <v>59</v>
      </c>
      <c r="F73">
        <f t="shared" si="3"/>
        <v>148</v>
      </c>
      <c r="G73">
        <f t="shared" si="4"/>
        <v>49.333333333333336</v>
      </c>
      <c r="H73" t="str">
        <f t="shared" si="5"/>
        <v>C</v>
      </c>
    </row>
    <row r="74" spans="1:8" x14ac:dyDescent="0.3">
      <c r="A74">
        <v>173</v>
      </c>
      <c r="B74" t="s">
        <v>13</v>
      </c>
      <c r="C74">
        <v>40</v>
      </c>
      <c r="D74">
        <v>52</v>
      </c>
      <c r="E74">
        <v>82</v>
      </c>
      <c r="F74">
        <f t="shared" si="3"/>
        <v>174</v>
      </c>
      <c r="G74">
        <f t="shared" si="4"/>
        <v>58</v>
      </c>
      <c r="H74" t="str">
        <f t="shared" si="5"/>
        <v>C</v>
      </c>
    </row>
    <row r="75" spans="1:8" x14ac:dyDescent="0.3">
      <c r="A75">
        <v>174</v>
      </c>
      <c r="B75" t="s">
        <v>8</v>
      </c>
      <c r="C75">
        <v>77</v>
      </c>
      <c r="D75">
        <v>49</v>
      </c>
      <c r="E75">
        <v>62</v>
      </c>
      <c r="F75">
        <f t="shared" si="3"/>
        <v>188</v>
      </c>
      <c r="G75">
        <f t="shared" si="4"/>
        <v>62.666666666666664</v>
      </c>
      <c r="H75" t="str">
        <f t="shared" si="5"/>
        <v>B</v>
      </c>
    </row>
    <row r="76" spans="1:8" x14ac:dyDescent="0.3">
      <c r="A76">
        <v>175</v>
      </c>
      <c r="B76" t="s">
        <v>9</v>
      </c>
      <c r="C76">
        <v>80</v>
      </c>
      <c r="D76">
        <v>92</v>
      </c>
      <c r="E76">
        <v>78</v>
      </c>
      <c r="F76">
        <f t="shared" si="3"/>
        <v>250</v>
      </c>
      <c r="G76">
        <f t="shared" si="4"/>
        <v>83.333333333333329</v>
      </c>
      <c r="H76" t="str">
        <f t="shared" si="5"/>
        <v>A</v>
      </c>
    </row>
    <row r="77" spans="1:8" x14ac:dyDescent="0.3">
      <c r="A77">
        <v>176</v>
      </c>
      <c r="B77" t="s">
        <v>14</v>
      </c>
      <c r="C77">
        <v>97</v>
      </c>
      <c r="D77">
        <v>39</v>
      </c>
      <c r="E77">
        <v>61</v>
      </c>
      <c r="F77">
        <f t="shared" si="3"/>
        <v>197</v>
      </c>
      <c r="G77">
        <f t="shared" si="4"/>
        <v>65.666666666666671</v>
      </c>
      <c r="H77" t="str">
        <f t="shared" si="5"/>
        <v>B</v>
      </c>
    </row>
    <row r="78" spans="1:8" x14ac:dyDescent="0.3">
      <c r="A78">
        <v>177</v>
      </c>
      <c r="B78" t="s">
        <v>14</v>
      </c>
      <c r="C78">
        <v>52</v>
      </c>
      <c r="D78">
        <v>42</v>
      </c>
      <c r="E78">
        <v>86</v>
      </c>
      <c r="F78">
        <f t="shared" si="3"/>
        <v>180</v>
      </c>
      <c r="G78">
        <f t="shared" si="4"/>
        <v>60</v>
      </c>
      <c r="H78" t="str">
        <f t="shared" si="5"/>
        <v>B</v>
      </c>
    </row>
    <row r="79" spans="1:8" x14ac:dyDescent="0.3">
      <c r="A79">
        <v>178</v>
      </c>
      <c r="B79" t="s">
        <v>14</v>
      </c>
      <c r="C79">
        <v>67</v>
      </c>
      <c r="D79">
        <v>50</v>
      </c>
      <c r="E79">
        <v>51</v>
      </c>
      <c r="F79">
        <f t="shared" si="3"/>
        <v>168</v>
      </c>
      <c r="G79">
        <f t="shared" si="4"/>
        <v>56</v>
      </c>
      <c r="H79" t="str">
        <f t="shared" si="5"/>
        <v>C</v>
      </c>
    </row>
    <row r="80" spans="1:8" x14ac:dyDescent="0.3">
      <c r="A80">
        <v>179</v>
      </c>
      <c r="B80" t="s">
        <v>10</v>
      </c>
      <c r="C80">
        <v>85</v>
      </c>
      <c r="D80">
        <v>99</v>
      </c>
      <c r="E80">
        <v>93</v>
      </c>
      <c r="F80">
        <f t="shared" si="3"/>
        <v>277</v>
      </c>
      <c r="G80">
        <f t="shared" si="4"/>
        <v>92.333333333333329</v>
      </c>
      <c r="H80" t="str">
        <f t="shared" si="5"/>
        <v>A</v>
      </c>
    </row>
    <row r="81" spans="1:8" x14ac:dyDescent="0.3">
      <c r="A81">
        <v>180</v>
      </c>
      <c r="B81" t="s">
        <v>11</v>
      </c>
      <c r="C81">
        <v>88</v>
      </c>
      <c r="D81">
        <v>71</v>
      </c>
      <c r="E81">
        <v>33</v>
      </c>
      <c r="F81">
        <f t="shared" si="3"/>
        <v>192</v>
      </c>
      <c r="G81">
        <f t="shared" si="4"/>
        <v>64</v>
      </c>
      <c r="H81" t="str">
        <f t="shared" si="5"/>
        <v>B</v>
      </c>
    </row>
    <row r="82" spans="1:8" x14ac:dyDescent="0.3">
      <c r="A82">
        <v>181</v>
      </c>
      <c r="B82" t="s">
        <v>9</v>
      </c>
      <c r="C82">
        <v>31</v>
      </c>
      <c r="D82">
        <v>76</v>
      </c>
      <c r="E82">
        <v>78</v>
      </c>
      <c r="F82">
        <f t="shared" si="3"/>
        <v>185</v>
      </c>
      <c r="G82">
        <f t="shared" si="4"/>
        <v>61.666666666666664</v>
      </c>
      <c r="H82" t="str">
        <f t="shared" si="5"/>
        <v>B</v>
      </c>
    </row>
    <row r="83" spans="1:8" x14ac:dyDescent="0.3">
      <c r="A83">
        <v>182</v>
      </c>
      <c r="B83" t="s">
        <v>14</v>
      </c>
      <c r="C83">
        <v>58</v>
      </c>
      <c r="D83">
        <v>57</v>
      </c>
      <c r="E83">
        <v>59</v>
      </c>
      <c r="F83">
        <f t="shared" si="3"/>
        <v>174</v>
      </c>
      <c r="G83">
        <f t="shared" si="4"/>
        <v>58</v>
      </c>
      <c r="H83" t="str">
        <f t="shared" si="5"/>
        <v>C</v>
      </c>
    </row>
    <row r="84" spans="1:8" x14ac:dyDescent="0.3">
      <c r="A84">
        <v>183</v>
      </c>
      <c r="B84" t="s">
        <v>12</v>
      </c>
      <c r="C84">
        <v>79</v>
      </c>
      <c r="D84">
        <v>66</v>
      </c>
      <c r="E84">
        <v>35</v>
      </c>
      <c r="F84">
        <f t="shared" si="3"/>
        <v>180</v>
      </c>
      <c r="G84">
        <f t="shared" si="4"/>
        <v>60</v>
      </c>
      <c r="H84" t="str">
        <f t="shared" si="5"/>
        <v>B</v>
      </c>
    </row>
    <row r="85" spans="1:8" x14ac:dyDescent="0.3">
      <c r="A85">
        <v>184</v>
      </c>
      <c r="B85" t="s">
        <v>12</v>
      </c>
      <c r="C85">
        <v>78</v>
      </c>
      <c r="D85">
        <v>73</v>
      </c>
      <c r="E85">
        <v>36</v>
      </c>
      <c r="F85">
        <f t="shared" si="3"/>
        <v>187</v>
      </c>
      <c r="G85">
        <f t="shared" si="4"/>
        <v>62.333333333333336</v>
      </c>
      <c r="H85" t="str">
        <f t="shared" si="5"/>
        <v>B</v>
      </c>
    </row>
    <row r="86" spans="1:8" x14ac:dyDescent="0.3">
      <c r="A86">
        <v>185</v>
      </c>
      <c r="B86" t="s">
        <v>8</v>
      </c>
      <c r="C86">
        <v>31</v>
      </c>
      <c r="D86">
        <v>36</v>
      </c>
      <c r="E86">
        <v>68</v>
      </c>
      <c r="F86">
        <f t="shared" si="3"/>
        <v>135</v>
      </c>
      <c r="G86">
        <f t="shared" si="4"/>
        <v>45</v>
      </c>
      <c r="H86" t="str">
        <f t="shared" si="5"/>
        <v>C</v>
      </c>
    </row>
    <row r="87" spans="1:8" x14ac:dyDescent="0.3">
      <c r="A87">
        <v>186</v>
      </c>
      <c r="B87" t="s">
        <v>15</v>
      </c>
      <c r="C87">
        <v>51</v>
      </c>
      <c r="D87">
        <v>32</v>
      </c>
      <c r="E87">
        <v>42</v>
      </c>
      <c r="F87">
        <f t="shared" si="3"/>
        <v>125</v>
      </c>
      <c r="G87">
        <f t="shared" si="4"/>
        <v>41.666666666666664</v>
      </c>
      <c r="H87" t="str">
        <f t="shared" si="5"/>
        <v>C</v>
      </c>
    </row>
    <row r="88" spans="1:8" x14ac:dyDescent="0.3">
      <c r="A88">
        <v>187</v>
      </c>
      <c r="B88" t="s">
        <v>14</v>
      </c>
      <c r="C88">
        <v>78</v>
      </c>
      <c r="D88">
        <v>99</v>
      </c>
      <c r="E88">
        <v>41</v>
      </c>
      <c r="F88">
        <f t="shared" si="3"/>
        <v>218</v>
      </c>
      <c r="G88">
        <f t="shared" si="4"/>
        <v>72.666666666666671</v>
      </c>
      <c r="H88" t="str">
        <f t="shared" si="5"/>
        <v>B</v>
      </c>
    </row>
    <row r="89" spans="1:8" x14ac:dyDescent="0.3">
      <c r="A89">
        <v>188</v>
      </c>
      <c r="B89" t="s">
        <v>15</v>
      </c>
      <c r="C89">
        <v>39</v>
      </c>
      <c r="D89">
        <v>55</v>
      </c>
      <c r="E89">
        <v>31</v>
      </c>
      <c r="F89">
        <f t="shared" si="3"/>
        <v>125</v>
      </c>
      <c r="G89">
        <f t="shared" si="4"/>
        <v>41.666666666666664</v>
      </c>
      <c r="H89" t="str">
        <f t="shared" si="5"/>
        <v>C</v>
      </c>
    </row>
    <row r="90" spans="1:8" x14ac:dyDescent="0.3">
      <c r="A90">
        <v>189</v>
      </c>
      <c r="B90" t="s">
        <v>8</v>
      </c>
      <c r="C90">
        <v>32</v>
      </c>
      <c r="D90">
        <v>85</v>
      </c>
      <c r="E90">
        <v>64</v>
      </c>
      <c r="F90">
        <f t="shared" si="3"/>
        <v>181</v>
      </c>
      <c r="G90">
        <f t="shared" si="4"/>
        <v>60.333333333333336</v>
      </c>
      <c r="H90" t="str">
        <f t="shared" si="5"/>
        <v>B</v>
      </c>
    </row>
    <row r="91" spans="1:8" x14ac:dyDescent="0.3">
      <c r="A91">
        <v>190</v>
      </c>
      <c r="B91" t="s">
        <v>14</v>
      </c>
      <c r="C91">
        <v>80</v>
      </c>
      <c r="D91">
        <v>42</v>
      </c>
      <c r="E91">
        <v>65</v>
      </c>
      <c r="F91">
        <f t="shared" si="3"/>
        <v>187</v>
      </c>
      <c r="G91">
        <f t="shared" si="4"/>
        <v>62.333333333333336</v>
      </c>
      <c r="H91" t="str">
        <f t="shared" si="5"/>
        <v>B</v>
      </c>
    </row>
    <row r="92" spans="1:8" x14ac:dyDescent="0.3">
      <c r="A92">
        <v>191</v>
      </c>
      <c r="B92" t="s">
        <v>15</v>
      </c>
      <c r="C92">
        <v>42</v>
      </c>
      <c r="D92">
        <v>63</v>
      </c>
      <c r="E92">
        <v>47</v>
      </c>
      <c r="F92">
        <f t="shared" si="3"/>
        <v>152</v>
      </c>
      <c r="G92">
        <f t="shared" si="4"/>
        <v>50.666666666666664</v>
      </c>
      <c r="H92" t="str">
        <f t="shared" si="5"/>
        <v>C</v>
      </c>
    </row>
    <row r="93" spans="1:8" x14ac:dyDescent="0.3">
      <c r="A93">
        <v>192</v>
      </c>
      <c r="B93" t="s">
        <v>14</v>
      </c>
      <c r="C93">
        <v>92</v>
      </c>
      <c r="D93">
        <v>64</v>
      </c>
      <c r="E93">
        <v>58</v>
      </c>
      <c r="F93">
        <f t="shared" si="3"/>
        <v>214</v>
      </c>
      <c r="G93">
        <f t="shared" si="4"/>
        <v>71.333333333333329</v>
      </c>
      <c r="H93" t="str">
        <f t="shared" si="5"/>
        <v>B</v>
      </c>
    </row>
    <row r="94" spans="1:8" x14ac:dyDescent="0.3">
      <c r="A94">
        <v>193</v>
      </c>
      <c r="B94" t="s">
        <v>12</v>
      </c>
      <c r="C94">
        <v>49</v>
      </c>
      <c r="D94">
        <v>58</v>
      </c>
      <c r="E94">
        <v>93</v>
      </c>
      <c r="F94">
        <f t="shared" si="3"/>
        <v>200</v>
      </c>
      <c r="G94">
        <f t="shared" si="4"/>
        <v>66.666666666666671</v>
      </c>
      <c r="H94" t="str">
        <f t="shared" si="5"/>
        <v>B</v>
      </c>
    </row>
    <row r="95" spans="1:8" x14ac:dyDescent="0.3">
      <c r="A95">
        <v>194</v>
      </c>
      <c r="B95" t="s">
        <v>14</v>
      </c>
      <c r="C95">
        <v>50</v>
      </c>
      <c r="D95">
        <v>56</v>
      </c>
      <c r="E95">
        <v>33</v>
      </c>
      <c r="F95">
        <f t="shared" si="3"/>
        <v>139</v>
      </c>
      <c r="G95">
        <f t="shared" si="4"/>
        <v>46.333333333333336</v>
      </c>
      <c r="H95" t="str">
        <f t="shared" si="5"/>
        <v>C</v>
      </c>
    </row>
    <row r="96" spans="1:8" x14ac:dyDescent="0.3">
      <c r="A96">
        <v>195</v>
      </c>
      <c r="B96" t="s">
        <v>11</v>
      </c>
      <c r="C96">
        <v>41</v>
      </c>
      <c r="D96">
        <v>78</v>
      </c>
      <c r="E96">
        <v>66</v>
      </c>
      <c r="F96">
        <f t="shared" si="3"/>
        <v>185</v>
      </c>
      <c r="G96">
        <f t="shared" si="4"/>
        <v>61.666666666666664</v>
      </c>
      <c r="H96" t="str">
        <f t="shared" si="5"/>
        <v>B</v>
      </c>
    </row>
    <row r="97" spans="1:8" x14ac:dyDescent="0.3">
      <c r="A97">
        <v>196</v>
      </c>
      <c r="B97" t="s">
        <v>9</v>
      </c>
      <c r="C97">
        <v>58</v>
      </c>
      <c r="D97">
        <v>60</v>
      </c>
      <c r="E97">
        <v>41</v>
      </c>
      <c r="F97">
        <f t="shared" si="3"/>
        <v>159</v>
      </c>
      <c r="G97">
        <f t="shared" si="4"/>
        <v>53</v>
      </c>
      <c r="H97" t="str">
        <f t="shared" si="5"/>
        <v>C</v>
      </c>
    </row>
    <row r="98" spans="1:8" x14ac:dyDescent="0.3">
      <c r="A98">
        <v>197</v>
      </c>
      <c r="B98" t="s">
        <v>15</v>
      </c>
      <c r="C98">
        <v>52</v>
      </c>
      <c r="D98">
        <v>94</v>
      </c>
      <c r="E98">
        <v>31</v>
      </c>
      <c r="F98">
        <f t="shared" si="3"/>
        <v>177</v>
      </c>
      <c r="G98">
        <f t="shared" si="4"/>
        <v>59</v>
      </c>
      <c r="H98" t="str">
        <f t="shared" si="5"/>
        <v>C</v>
      </c>
    </row>
    <row r="99" spans="1:8" x14ac:dyDescent="0.3">
      <c r="A99">
        <v>198</v>
      </c>
      <c r="B99" t="s">
        <v>8</v>
      </c>
      <c r="C99">
        <v>71</v>
      </c>
      <c r="D99">
        <v>91</v>
      </c>
      <c r="E99">
        <v>49</v>
      </c>
      <c r="F99">
        <f t="shared" si="3"/>
        <v>211</v>
      </c>
      <c r="G99">
        <f t="shared" si="4"/>
        <v>70.333333333333329</v>
      </c>
      <c r="H99" t="str">
        <f t="shared" si="5"/>
        <v>B</v>
      </c>
    </row>
    <row r="100" spans="1:8" x14ac:dyDescent="0.3">
      <c r="A100">
        <v>199</v>
      </c>
      <c r="B100" t="s">
        <v>11</v>
      </c>
      <c r="C100">
        <v>44</v>
      </c>
      <c r="D100">
        <v>97</v>
      </c>
      <c r="E100">
        <v>68</v>
      </c>
      <c r="F100">
        <f t="shared" si="3"/>
        <v>209</v>
      </c>
      <c r="G100">
        <f t="shared" si="4"/>
        <v>69.666666666666671</v>
      </c>
      <c r="H100" t="str">
        <f t="shared" si="5"/>
        <v>B</v>
      </c>
    </row>
    <row r="101" spans="1:8" x14ac:dyDescent="0.3">
      <c r="A101">
        <v>200</v>
      </c>
      <c r="B101" t="s">
        <v>10</v>
      </c>
      <c r="C101">
        <v>40</v>
      </c>
      <c r="D101">
        <v>95</v>
      </c>
      <c r="E101">
        <v>44</v>
      </c>
      <c r="F101">
        <f t="shared" si="3"/>
        <v>179</v>
      </c>
      <c r="G101">
        <f t="shared" si="4"/>
        <v>59.666666666666664</v>
      </c>
      <c r="H101" t="str">
        <f t="shared" si="5"/>
        <v>C</v>
      </c>
    </row>
    <row r="102" spans="1:8" x14ac:dyDescent="0.3">
      <c r="A102">
        <v>201</v>
      </c>
      <c r="B102" t="s">
        <v>13</v>
      </c>
      <c r="C102">
        <v>88</v>
      </c>
      <c r="D102">
        <v>95</v>
      </c>
      <c r="E102">
        <v>93</v>
      </c>
      <c r="F102">
        <f t="shared" si="3"/>
        <v>276</v>
      </c>
      <c r="G102">
        <f t="shared" si="4"/>
        <v>92</v>
      </c>
      <c r="H102" t="str">
        <f t="shared" si="5"/>
        <v>A</v>
      </c>
    </row>
    <row r="103" spans="1:8" x14ac:dyDescent="0.3">
      <c r="A103">
        <v>202</v>
      </c>
      <c r="B103" t="s">
        <v>11</v>
      </c>
      <c r="C103">
        <v>52</v>
      </c>
      <c r="D103">
        <v>76</v>
      </c>
      <c r="E103">
        <v>83</v>
      </c>
      <c r="F103">
        <f t="shared" si="3"/>
        <v>211</v>
      </c>
      <c r="G103">
        <f t="shared" si="4"/>
        <v>70.333333333333329</v>
      </c>
      <c r="H103" t="str">
        <f t="shared" si="5"/>
        <v>B</v>
      </c>
    </row>
    <row r="104" spans="1:8" x14ac:dyDescent="0.3">
      <c r="A104">
        <v>203</v>
      </c>
      <c r="B104" t="s">
        <v>14</v>
      </c>
      <c r="C104">
        <v>63</v>
      </c>
      <c r="D104">
        <v>40</v>
      </c>
      <c r="E104">
        <v>76</v>
      </c>
      <c r="F104">
        <f t="shared" si="3"/>
        <v>179</v>
      </c>
      <c r="G104">
        <f t="shared" si="4"/>
        <v>59.666666666666664</v>
      </c>
      <c r="H104" t="str">
        <f t="shared" si="5"/>
        <v>C</v>
      </c>
    </row>
    <row r="105" spans="1:8" x14ac:dyDescent="0.3">
      <c r="A105">
        <v>204</v>
      </c>
      <c r="B105" t="s">
        <v>14</v>
      </c>
      <c r="C105">
        <v>32</v>
      </c>
      <c r="D105">
        <v>48</v>
      </c>
      <c r="E105">
        <v>59</v>
      </c>
      <c r="F105">
        <f t="shared" si="3"/>
        <v>139</v>
      </c>
      <c r="G105">
        <f t="shared" si="4"/>
        <v>46.333333333333336</v>
      </c>
      <c r="H105" t="str">
        <f t="shared" si="5"/>
        <v>C</v>
      </c>
    </row>
    <row r="106" spans="1:8" x14ac:dyDescent="0.3">
      <c r="A106">
        <v>205</v>
      </c>
      <c r="B106" t="s">
        <v>12</v>
      </c>
      <c r="C106">
        <v>86</v>
      </c>
      <c r="D106">
        <v>100</v>
      </c>
      <c r="E106">
        <v>43</v>
      </c>
      <c r="F106">
        <f t="shared" si="3"/>
        <v>229</v>
      </c>
      <c r="G106">
        <f t="shared" si="4"/>
        <v>76.333333333333329</v>
      </c>
      <c r="H106" t="str">
        <f t="shared" si="5"/>
        <v>B</v>
      </c>
    </row>
    <row r="107" spans="1:8" x14ac:dyDescent="0.3">
      <c r="A107">
        <v>206</v>
      </c>
      <c r="B107" t="s">
        <v>10</v>
      </c>
      <c r="C107">
        <v>73</v>
      </c>
      <c r="D107">
        <v>51</v>
      </c>
      <c r="E107">
        <v>91</v>
      </c>
      <c r="F107">
        <f t="shared" si="3"/>
        <v>215</v>
      </c>
      <c r="G107">
        <f t="shared" si="4"/>
        <v>71.666666666666671</v>
      </c>
      <c r="H107" t="str">
        <f t="shared" si="5"/>
        <v>B</v>
      </c>
    </row>
    <row r="108" spans="1:8" x14ac:dyDescent="0.3">
      <c r="A108">
        <v>207</v>
      </c>
      <c r="B108" t="s">
        <v>8</v>
      </c>
      <c r="C108">
        <v>87</v>
      </c>
      <c r="D108">
        <v>67</v>
      </c>
      <c r="E108">
        <v>72</v>
      </c>
      <c r="F108">
        <f t="shared" si="3"/>
        <v>226</v>
      </c>
      <c r="G108">
        <f t="shared" si="4"/>
        <v>75.333333333333329</v>
      </c>
      <c r="H108" t="str">
        <f t="shared" si="5"/>
        <v>B</v>
      </c>
    </row>
    <row r="109" spans="1:8" x14ac:dyDescent="0.3">
      <c r="A109">
        <v>208</v>
      </c>
      <c r="B109" t="s">
        <v>13</v>
      </c>
      <c r="C109">
        <v>80</v>
      </c>
      <c r="D109">
        <v>91</v>
      </c>
      <c r="E109">
        <v>90</v>
      </c>
      <c r="F109">
        <f t="shared" si="3"/>
        <v>261</v>
      </c>
      <c r="G109">
        <f t="shared" si="4"/>
        <v>87</v>
      </c>
      <c r="H109" t="str">
        <f t="shared" si="5"/>
        <v>A</v>
      </c>
    </row>
    <row r="110" spans="1:8" x14ac:dyDescent="0.3">
      <c r="A110">
        <v>209</v>
      </c>
      <c r="B110" t="s">
        <v>14</v>
      </c>
      <c r="C110">
        <v>42</v>
      </c>
      <c r="D110">
        <v>62</v>
      </c>
      <c r="E110">
        <v>37</v>
      </c>
      <c r="F110">
        <f t="shared" si="3"/>
        <v>141</v>
      </c>
      <c r="G110">
        <f t="shared" si="4"/>
        <v>47</v>
      </c>
      <c r="H110" t="str">
        <f t="shared" si="5"/>
        <v>C</v>
      </c>
    </row>
    <row r="111" spans="1:8" x14ac:dyDescent="0.3">
      <c r="A111">
        <v>210</v>
      </c>
      <c r="B111" t="s">
        <v>15</v>
      </c>
      <c r="C111">
        <v>61</v>
      </c>
      <c r="D111">
        <v>52</v>
      </c>
      <c r="E111">
        <v>74</v>
      </c>
      <c r="F111">
        <f t="shared" si="3"/>
        <v>187</v>
      </c>
      <c r="G111">
        <f t="shared" si="4"/>
        <v>62.333333333333336</v>
      </c>
      <c r="H111" t="str">
        <f t="shared" si="5"/>
        <v>B</v>
      </c>
    </row>
    <row r="112" spans="1:8" x14ac:dyDescent="0.3">
      <c r="A112">
        <v>211</v>
      </c>
      <c r="B112" t="s">
        <v>8</v>
      </c>
      <c r="C112">
        <v>65</v>
      </c>
      <c r="D112">
        <v>58</v>
      </c>
      <c r="E112">
        <v>49</v>
      </c>
      <c r="F112">
        <f t="shared" si="3"/>
        <v>172</v>
      </c>
      <c r="G112">
        <f t="shared" si="4"/>
        <v>57.333333333333336</v>
      </c>
      <c r="H112" t="str">
        <f t="shared" si="5"/>
        <v>C</v>
      </c>
    </row>
    <row r="113" spans="1:8" x14ac:dyDescent="0.3">
      <c r="A113">
        <v>212</v>
      </c>
      <c r="B113" t="s">
        <v>9</v>
      </c>
      <c r="C113">
        <v>76</v>
      </c>
      <c r="D113">
        <v>95</v>
      </c>
      <c r="E113">
        <v>84</v>
      </c>
      <c r="F113">
        <f t="shared" si="3"/>
        <v>255</v>
      </c>
      <c r="G113">
        <f t="shared" si="4"/>
        <v>85</v>
      </c>
      <c r="H113" t="str">
        <f t="shared" si="5"/>
        <v>A</v>
      </c>
    </row>
    <row r="114" spans="1:8" x14ac:dyDescent="0.3">
      <c r="A114">
        <v>213</v>
      </c>
      <c r="B114" t="s">
        <v>8</v>
      </c>
      <c r="C114">
        <v>73</v>
      </c>
      <c r="D114">
        <v>56</v>
      </c>
      <c r="E114">
        <v>63</v>
      </c>
      <c r="F114">
        <f t="shared" si="3"/>
        <v>192</v>
      </c>
      <c r="G114">
        <f t="shared" si="4"/>
        <v>64</v>
      </c>
      <c r="H114" t="str">
        <f t="shared" si="5"/>
        <v>B</v>
      </c>
    </row>
    <row r="115" spans="1:8" x14ac:dyDescent="0.3">
      <c r="A115">
        <v>214</v>
      </c>
      <c r="B115" t="s">
        <v>8</v>
      </c>
      <c r="C115">
        <v>33</v>
      </c>
      <c r="D115">
        <v>94</v>
      </c>
      <c r="E115">
        <v>57</v>
      </c>
      <c r="F115">
        <f t="shared" si="3"/>
        <v>184</v>
      </c>
      <c r="G115">
        <f t="shared" si="4"/>
        <v>61.333333333333336</v>
      </c>
      <c r="H115" t="str">
        <f t="shared" si="5"/>
        <v>B</v>
      </c>
    </row>
    <row r="116" spans="1:8" x14ac:dyDescent="0.3">
      <c r="A116">
        <v>215</v>
      </c>
      <c r="B116" t="s">
        <v>8</v>
      </c>
      <c r="C116">
        <v>32</v>
      </c>
      <c r="D116">
        <v>62</v>
      </c>
      <c r="E116">
        <v>90</v>
      </c>
      <c r="F116">
        <f t="shared" si="3"/>
        <v>184</v>
      </c>
      <c r="G116">
        <f t="shared" si="4"/>
        <v>61.333333333333336</v>
      </c>
      <c r="H116" t="str">
        <f t="shared" si="5"/>
        <v>B</v>
      </c>
    </row>
    <row r="117" spans="1:8" x14ac:dyDescent="0.3">
      <c r="A117">
        <v>216</v>
      </c>
      <c r="B117" t="s">
        <v>13</v>
      </c>
      <c r="C117">
        <v>89</v>
      </c>
      <c r="D117">
        <v>74</v>
      </c>
      <c r="E117">
        <v>65</v>
      </c>
      <c r="F117">
        <f t="shared" si="3"/>
        <v>228</v>
      </c>
      <c r="G117">
        <f t="shared" si="4"/>
        <v>76</v>
      </c>
      <c r="H117" t="str">
        <f t="shared" si="5"/>
        <v>B</v>
      </c>
    </row>
    <row r="118" spans="1:8" x14ac:dyDescent="0.3">
      <c r="A118">
        <v>217</v>
      </c>
      <c r="B118" t="s">
        <v>8</v>
      </c>
      <c r="C118">
        <v>77</v>
      </c>
      <c r="D118">
        <v>84</v>
      </c>
      <c r="E118">
        <v>71</v>
      </c>
      <c r="F118">
        <f t="shared" si="3"/>
        <v>232</v>
      </c>
      <c r="G118">
        <f t="shared" si="4"/>
        <v>77.333333333333329</v>
      </c>
      <c r="H118" t="str">
        <f t="shared" si="5"/>
        <v>B</v>
      </c>
    </row>
    <row r="119" spans="1:8" x14ac:dyDescent="0.3">
      <c r="A119">
        <v>218</v>
      </c>
      <c r="B119" t="s">
        <v>9</v>
      </c>
      <c r="C119">
        <v>73</v>
      </c>
      <c r="D119">
        <v>51</v>
      </c>
      <c r="E119">
        <v>60</v>
      </c>
      <c r="F119">
        <f t="shared" si="3"/>
        <v>184</v>
      </c>
      <c r="G119">
        <f t="shared" si="4"/>
        <v>61.333333333333336</v>
      </c>
      <c r="H119" t="str">
        <f t="shared" si="5"/>
        <v>B</v>
      </c>
    </row>
    <row r="120" spans="1:8" x14ac:dyDescent="0.3">
      <c r="A120">
        <v>219</v>
      </c>
      <c r="B120" t="s">
        <v>9</v>
      </c>
      <c r="C120">
        <v>38</v>
      </c>
      <c r="D120">
        <v>92</v>
      </c>
      <c r="E120">
        <v>67</v>
      </c>
      <c r="F120">
        <f t="shared" si="3"/>
        <v>197</v>
      </c>
      <c r="G120">
        <f t="shared" si="4"/>
        <v>65.666666666666671</v>
      </c>
      <c r="H120" t="str">
        <f t="shared" si="5"/>
        <v>B</v>
      </c>
    </row>
    <row r="121" spans="1:8" x14ac:dyDescent="0.3">
      <c r="A121">
        <v>220</v>
      </c>
      <c r="B121" t="s">
        <v>12</v>
      </c>
      <c r="C121">
        <v>74</v>
      </c>
      <c r="D121">
        <v>72</v>
      </c>
      <c r="E121">
        <v>86</v>
      </c>
      <c r="F121">
        <f t="shared" si="3"/>
        <v>232</v>
      </c>
      <c r="G121">
        <f t="shared" si="4"/>
        <v>77.333333333333329</v>
      </c>
      <c r="H121" t="str">
        <f t="shared" si="5"/>
        <v>B</v>
      </c>
    </row>
    <row r="122" spans="1:8" x14ac:dyDescent="0.3">
      <c r="A122">
        <v>221</v>
      </c>
      <c r="B122" t="s">
        <v>13</v>
      </c>
      <c r="C122">
        <v>59</v>
      </c>
      <c r="D122">
        <v>33</v>
      </c>
      <c r="E122">
        <v>41</v>
      </c>
      <c r="F122">
        <f t="shared" si="3"/>
        <v>133</v>
      </c>
      <c r="G122">
        <f t="shared" si="4"/>
        <v>44.333333333333336</v>
      </c>
      <c r="H122" t="str">
        <f t="shared" si="5"/>
        <v>C</v>
      </c>
    </row>
    <row r="123" spans="1:8" x14ac:dyDescent="0.3">
      <c r="A123">
        <v>222</v>
      </c>
      <c r="B123" t="s">
        <v>10</v>
      </c>
      <c r="C123">
        <v>69</v>
      </c>
      <c r="D123">
        <v>32</v>
      </c>
      <c r="E123">
        <v>36</v>
      </c>
      <c r="F123">
        <f t="shared" si="3"/>
        <v>137</v>
      </c>
      <c r="G123">
        <f t="shared" si="4"/>
        <v>45.666666666666664</v>
      </c>
      <c r="H123" t="str">
        <f t="shared" si="5"/>
        <v>C</v>
      </c>
    </row>
    <row r="124" spans="1:8" x14ac:dyDescent="0.3">
      <c r="A124">
        <v>223</v>
      </c>
      <c r="B124" t="s">
        <v>12</v>
      </c>
      <c r="C124">
        <v>32</v>
      </c>
      <c r="D124">
        <v>41</v>
      </c>
      <c r="E124">
        <v>97</v>
      </c>
      <c r="F124">
        <f t="shared" si="3"/>
        <v>170</v>
      </c>
      <c r="G124">
        <f t="shared" si="4"/>
        <v>56.666666666666664</v>
      </c>
      <c r="H124" t="str">
        <f t="shared" si="5"/>
        <v>C</v>
      </c>
    </row>
    <row r="125" spans="1:8" x14ac:dyDescent="0.3">
      <c r="A125">
        <v>224</v>
      </c>
      <c r="B125" t="s">
        <v>8</v>
      </c>
      <c r="C125">
        <v>53</v>
      </c>
      <c r="D125">
        <v>51</v>
      </c>
      <c r="E125">
        <v>67</v>
      </c>
      <c r="F125">
        <f t="shared" si="3"/>
        <v>171</v>
      </c>
      <c r="G125">
        <f t="shared" si="4"/>
        <v>57</v>
      </c>
      <c r="H125" t="str">
        <f t="shared" si="5"/>
        <v>C</v>
      </c>
    </row>
    <row r="126" spans="1:8" x14ac:dyDescent="0.3">
      <c r="A126">
        <v>225</v>
      </c>
      <c r="B126" t="s">
        <v>13</v>
      </c>
      <c r="C126">
        <v>99</v>
      </c>
      <c r="D126">
        <v>59</v>
      </c>
      <c r="E126">
        <v>98</v>
      </c>
      <c r="F126">
        <f t="shared" si="3"/>
        <v>256</v>
      </c>
      <c r="G126">
        <f t="shared" si="4"/>
        <v>85.333333333333329</v>
      </c>
      <c r="H126" t="str">
        <f t="shared" si="5"/>
        <v>A</v>
      </c>
    </row>
    <row r="127" spans="1:8" x14ac:dyDescent="0.3">
      <c r="A127">
        <v>226</v>
      </c>
      <c r="B127" t="s">
        <v>12</v>
      </c>
      <c r="C127">
        <v>84</v>
      </c>
      <c r="D127">
        <v>46</v>
      </c>
      <c r="E127">
        <v>63</v>
      </c>
      <c r="F127">
        <f t="shared" si="3"/>
        <v>193</v>
      </c>
      <c r="G127">
        <f t="shared" si="4"/>
        <v>64.333333333333329</v>
      </c>
      <c r="H127" t="str">
        <f t="shared" si="5"/>
        <v>B</v>
      </c>
    </row>
    <row r="128" spans="1:8" x14ac:dyDescent="0.3">
      <c r="A128">
        <v>227</v>
      </c>
      <c r="B128" t="s">
        <v>9</v>
      </c>
      <c r="C128">
        <v>42</v>
      </c>
      <c r="D128">
        <v>63</v>
      </c>
      <c r="E128">
        <v>32</v>
      </c>
      <c r="F128">
        <f t="shared" si="3"/>
        <v>137</v>
      </c>
      <c r="G128">
        <f t="shared" si="4"/>
        <v>45.666666666666664</v>
      </c>
      <c r="H128" t="str">
        <f t="shared" si="5"/>
        <v>C</v>
      </c>
    </row>
    <row r="129" spans="1:8" x14ac:dyDescent="0.3">
      <c r="A129">
        <v>228</v>
      </c>
      <c r="B129" t="s">
        <v>9</v>
      </c>
      <c r="C129">
        <v>62</v>
      </c>
      <c r="D129">
        <v>92</v>
      </c>
      <c r="E129">
        <v>52</v>
      </c>
      <c r="F129">
        <f t="shared" si="3"/>
        <v>206</v>
      </c>
      <c r="G129">
        <f t="shared" si="4"/>
        <v>68.666666666666671</v>
      </c>
      <c r="H129" t="str">
        <f t="shared" si="5"/>
        <v>B</v>
      </c>
    </row>
    <row r="130" spans="1:8" x14ac:dyDescent="0.3">
      <c r="A130">
        <v>229</v>
      </c>
      <c r="B130" t="s">
        <v>15</v>
      </c>
      <c r="C130">
        <v>40</v>
      </c>
      <c r="D130">
        <v>38</v>
      </c>
      <c r="E130">
        <v>43</v>
      </c>
      <c r="F130">
        <f t="shared" ref="F130:F193" si="6">SUM(C130:E130)</f>
        <v>121</v>
      </c>
      <c r="G130">
        <f t="shared" ref="G130:G193" si="7">F130/3</f>
        <v>40.333333333333336</v>
      </c>
      <c r="H130" t="str">
        <f t="shared" ref="H130:H193" si="8">IF(G130&gt;=80,"A",IF(G130&gt;=60,"B",IF(G130&gt;=40,"C","F")))</f>
        <v>C</v>
      </c>
    </row>
    <row r="131" spans="1:8" x14ac:dyDescent="0.3">
      <c r="A131">
        <v>230</v>
      </c>
      <c r="B131" t="s">
        <v>10</v>
      </c>
      <c r="C131">
        <v>100</v>
      </c>
      <c r="D131">
        <v>46</v>
      </c>
      <c r="E131">
        <v>44</v>
      </c>
      <c r="F131">
        <f t="shared" si="6"/>
        <v>190</v>
      </c>
      <c r="G131">
        <f t="shared" si="7"/>
        <v>63.333333333333336</v>
      </c>
      <c r="H131" t="str">
        <f t="shared" si="8"/>
        <v>B</v>
      </c>
    </row>
    <row r="132" spans="1:8" x14ac:dyDescent="0.3">
      <c r="A132">
        <v>231</v>
      </c>
      <c r="B132" t="s">
        <v>13</v>
      </c>
      <c r="C132">
        <v>56</v>
      </c>
      <c r="D132">
        <v>78</v>
      </c>
      <c r="E132">
        <v>50</v>
      </c>
      <c r="F132">
        <f t="shared" si="6"/>
        <v>184</v>
      </c>
      <c r="G132">
        <f t="shared" si="7"/>
        <v>61.333333333333336</v>
      </c>
      <c r="H132" t="str">
        <f t="shared" si="8"/>
        <v>B</v>
      </c>
    </row>
    <row r="133" spans="1:8" x14ac:dyDescent="0.3">
      <c r="A133">
        <v>232</v>
      </c>
      <c r="B133" t="s">
        <v>15</v>
      </c>
      <c r="C133">
        <v>77</v>
      </c>
      <c r="D133">
        <v>96</v>
      </c>
      <c r="E133">
        <v>90</v>
      </c>
      <c r="F133">
        <f t="shared" si="6"/>
        <v>263</v>
      </c>
      <c r="G133">
        <f t="shared" si="7"/>
        <v>87.666666666666671</v>
      </c>
      <c r="H133" t="str">
        <f t="shared" si="8"/>
        <v>A</v>
      </c>
    </row>
    <row r="134" spans="1:8" x14ac:dyDescent="0.3">
      <c r="A134">
        <v>233</v>
      </c>
      <c r="B134" t="s">
        <v>11</v>
      </c>
      <c r="C134">
        <v>67</v>
      </c>
      <c r="D134">
        <v>52</v>
      </c>
      <c r="E134">
        <v>40</v>
      </c>
      <c r="F134">
        <f t="shared" si="6"/>
        <v>159</v>
      </c>
      <c r="G134">
        <f t="shared" si="7"/>
        <v>53</v>
      </c>
      <c r="H134" t="str">
        <f t="shared" si="8"/>
        <v>C</v>
      </c>
    </row>
    <row r="135" spans="1:8" x14ac:dyDescent="0.3">
      <c r="A135">
        <v>234</v>
      </c>
      <c r="B135" t="s">
        <v>12</v>
      </c>
      <c r="C135">
        <v>61</v>
      </c>
      <c r="D135">
        <v>46</v>
      </c>
      <c r="E135">
        <v>45</v>
      </c>
      <c r="F135">
        <f t="shared" si="6"/>
        <v>152</v>
      </c>
      <c r="G135">
        <f t="shared" si="7"/>
        <v>50.666666666666664</v>
      </c>
      <c r="H135" t="str">
        <f t="shared" si="8"/>
        <v>C</v>
      </c>
    </row>
    <row r="136" spans="1:8" x14ac:dyDescent="0.3">
      <c r="A136">
        <v>235</v>
      </c>
      <c r="B136" t="s">
        <v>12</v>
      </c>
      <c r="C136">
        <v>52</v>
      </c>
      <c r="D136">
        <v>84</v>
      </c>
      <c r="E136">
        <v>61</v>
      </c>
      <c r="F136">
        <f t="shared" si="6"/>
        <v>197</v>
      </c>
      <c r="G136">
        <f t="shared" si="7"/>
        <v>65.666666666666671</v>
      </c>
      <c r="H136" t="str">
        <f t="shared" si="8"/>
        <v>B</v>
      </c>
    </row>
    <row r="137" spans="1:8" x14ac:dyDescent="0.3">
      <c r="A137">
        <v>236</v>
      </c>
      <c r="B137" t="s">
        <v>13</v>
      </c>
      <c r="C137">
        <v>65</v>
      </c>
      <c r="D137">
        <v>31</v>
      </c>
      <c r="E137">
        <v>91</v>
      </c>
      <c r="F137">
        <f t="shared" si="6"/>
        <v>187</v>
      </c>
      <c r="G137">
        <f t="shared" si="7"/>
        <v>62.333333333333336</v>
      </c>
      <c r="H137" t="str">
        <f t="shared" si="8"/>
        <v>B</v>
      </c>
    </row>
    <row r="138" spans="1:8" x14ac:dyDescent="0.3">
      <c r="A138">
        <v>237</v>
      </c>
      <c r="B138" t="s">
        <v>11</v>
      </c>
      <c r="C138">
        <v>58</v>
      </c>
      <c r="D138">
        <v>57</v>
      </c>
      <c r="E138">
        <v>54</v>
      </c>
      <c r="F138">
        <f t="shared" si="6"/>
        <v>169</v>
      </c>
      <c r="G138">
        <f t="shared" si="7"/>
        <v>56.333333333333336</v>
      </c>
      <c r="H138" t="str">
        <f t="shared" si="8"/>
        <v>C</v>
      </c>
    </row>
    <row r="139" spans="1:8" x14ac:dyDescent="0.3">
      <c r="A139">
        <v>238</v>
      </c>
      <c r="B139" t="s">
        <v>10</v>
      </c>
      <c r="C139">
        <v>78</v>
      </c>
      <c r="D139">
        <v>79</v>
      </c>
      <c r="E139">
        <v>80</v>
      </c>
      <c r="F139">
        <f t="shared" si="6"/>
        <v>237</v>
      </c>
      <c r="G139">
        <f t="shared" si="7"/>
        <v>79</v>
      </c>
      <c r="H139" t="str">
        <f t="shared" si="8"/>
        <v>B</v>
      </c>
    </row>
    <row r="140" spans="1:8" x14ac:dyDescent="0.3">
      <c r="A140">
        <v>239</v>
      </c>
      <c r="B140" t="s">
        <v>13</v>
      </c>
      <c r="C140">
        <v>91</v>
      </c>
      <c r="D140">
        <v>93</v>
      </c>
      <c r="E140">
        <v>68</v>
      </c>
      <c r="F140">
        <f t="shared" si="6"/>
        <v>252</v>
      </c>
      <c r="G140">
        <f t="shared" si="7"/>
        <v>84</v>
      </c>
      <c r="H140" t="str">
        <f t="shared" si="8"/>
        <v>A</v>
      </c>
    </row>
    <row r="141" spans="1:8" x14ac:dyDescent="0.3">
      <c r="A141">
        <v>240</v>
      </c>
      <c r="B141" t="s">
        <v>9</v>
      </c>
      <c r="C141">
        <v>69</v>
      </c>
      <c r="D141">
        <v>61</v>
      </c>
      <c r="E141">
        <v>97</v>
      </c>
      <c r="F141">
        <f t="shared" si="6"/>
        <v>227</v>
      </c>
      <c r="G141">
        <f t="shared" si="7"/>
        <v>75.666666666666671</v>
      </c>
      <c r="H141" t="str">
        <f t="shared" si="8"/>
        <v>B</v>
      </c>
    </row>
    <row r="142" spans="1:8" x14ac:dyDescent="0.3">
      <c r="A142">
        <v>241</v>
      </c>
      <c r="B142" t="s">
        <v>14</v>
      </c>
      <c r="C142">
        <v>78</v>
      </c>
      <c r="D142">
        <v>94</v>
      </c>
      <c r="E142">
        <v>47</v>
      </c>
      <c r="F142">
        <f t="shared" si="6"/>
        <v>219</v>
      </c>
      <c r="G142">
        <f t="shared" si="7"/>
        <v>73</v>
      </c>
      <c r="H142" t="str">
        <f t="shared" si="8"/>
        <v>B</v>
      </c>
    </row>
    <row r="143" spans="1:8" x14ac:dyDescent="0.3">
      <c r="A143">
        <v>242</v>
      </c>
      <c r="B143" t="s">
        <v>9</v>
      </c>
      <c r="C143">
        <v>40</v>
      </c>
      <c r="D143">
        <v>62</v>
      </c>
      <c r="E143">
        <v>67</v>
      </c>
      <c r="F143">
        <f t="shared" si="6"/>
        <v>169</v>
      </c>
      <c r="G143">
        <f t="shared" si="7"/>
        <v>56.333333333333336</v>
      </c>
      <c r="H143" t="str">
        <f t="shared" si="8"/>
        <v>C</v>
      </c>
    </row>
    <row r="144" spans="1:8" x14ac:dyDescent="0.3">
      <c r="A144">
        <v>243</v>
      </c>
      <c r="B144" t="s">
        <v>9</v>
      </c>
      <c r="C144">
        <v>66</v>
      </c>
      <c r="D144">
        <v>53</v>
      </c>
      <c r="E144">
        <v>67</v>
      </c>
      <c r="F144">
        <f t="shared" si="6"/>
        <v>186</v>
      </c>
      <c r="G144">
        <f t="shared" si="7"/>
        <v>62</v>
      </c>
      <c r="H144" t="str">
        <f t="shared" si="8"/>
        <v>B</v>
      </c>
    </row>
    <row r="145" spans="1:8" x14ac:dyDescent="0.3">
      <c r="A145">
        <v>244</v>
      </c>
      <c r="B145" t="s">
        <v>11</v>
      </c>
      <c r="C145">
        <v>61</v>
      </c>
      <c r="D145">
        <v>94</v>
      </c>
      <c r="E145">
        <v>79</v>
      </c>
      <c r="F145">
        <f t="shared" si="6"/>
        <v>234</v>
      </c>
      <c r="G145">
        <f t="shared" si="7"/>
        <v>78</v>
      </c>
      <c r="H145" t="str">
        <f t="shared" si="8"/>
        <v>B</v>
      </c>
    </row>
    <row r="146" spans="1:8" x14ac:dyDescent="0.3">
      <c r="A146">
        <v>245</v>
      </c>
      <c r="B146" t="s">
        <v>12</v>
      </c>
      <c r="C146">
        <v>72</v>
      </c>
      <c r="D146">
        <v>76</v>
      </c>
      <c r="E146">
        <v>59</v>
      </c>
      <c r="F146">
        <f t="shared" si="6"/>
        <v>207</v>
      </c>
      <c r="G146">
        <f t="shared" si="7"/>
        <v>69</v>
      </c>
      <c r="H146" t="str">
        <f t="shared" si="8"/>
        <v>B</v>
      </c>
    </row>
    <row r="147" spans="1:8" x14ac:dyDescent="0.3">
      <c r="A147">
        <v>246</v>
      </c>
      <c r="B147" t="s">
        <v>12</v>
      </c>
      <c r="C147">
        <v>95</v>
      </c>
      <c r="D147">
        <v>64</v>
      </c>
      <c r="E147">
        <v>38</v>
      </c>
      <c r="F147">
        <f t="shared" si="6"/>
        <v>197</v>
      </c>
      <c r="G147">
        <f t="shared" si="7"/>
        <v>65.666666666666671</v>
      </c>
      <c r="H147" t="str">
        <f t="shared" si="8"/>
        <v>B</v>
      </c>
    </row>
    <row r="148" spans="1:8" x14ac:dyDescent="0.3">
      <c r="A148">
        <v>247</v>
      </c>
      <c r="B148" t="s">
        <v>14</v>
      </c>
      <c r="C148">
        <v>77</v>
      </c>
      <c r="D148">
        <v>56</v>
      </c>
      <c r="E148">
        <v>73</v>
      </c>
      <c r="F148">
        <f t="shared" si="6"/>
        <v>206</v>
      </c>
      <c r="G148">
        <f t="shared" si="7"/>
        <v>68.666666666666671</v>
      </c>
      <c r="H148" t="str">
        <f t="shared" si="8"/>
        <v>B</v>
      </c>
    </row>
    <row r="149" spans="1:8" x14ac:dyDescent="0.3">
      <c r="A149">
        <v>248</v>
      </c>
      <c r="B149" t="s">
        <v>14</v>
      </c>
      <c r="C149">
        <v>87</v>
      </c>
      <c r="D149">
        <v>34</v>
      </c>
      <c r="E149">
        <v>33</v>
      </c>
      <c r="F149">
        <f t="shared" si="6"/>
        <v>154</v>
      </c>
      <c r="G149">
        <f t="shared" si="7"/>
        <v>51.333333333333336</v>
      </c>
      <c r="H149" t="str">
        <f t="shared" si="8"/>
        <v>C</v>
      </c>
    </row>
    <row r="150" spans="1:8" x14ac:dyDescent="0.3">
      <c r="A150">
        <v>249</v>
      </c>
      <c r="B150" t="s">
        <v>12</v>
      </c>
      <c r="C150">
        <v>51</v>
      </c>
      <c r="D150">
        <v>92</v>
      </c>
      <c r="E150">
        <v>34</v>
      </c>
      <c r="F150">
        <f t="shared" si="6"/>
        <v>177</v>
      </c>
      <c r="G150">
        <f t="shared" si="7"/>
        <v>59</v>
      </c>
      <c r="H150" t="str">
        <f t="shared" si="8"/>
        <v>C</v>
      </c>
    </row>
    <row r="151" spans="1:8" x14ac:dyDescent="0.3">
      <c r="A151">
        <v>250</v>
      </c>
      <c r="B151" t="s">
        <v>8</v>
      </c>
      <c r="C151">
        <v>88</v>
      </c>
      <c r="D151">
        <v>45</v>
      </c>
      <c r="E151">
        <v>97</v>
      </c>
      <c r="F151">
        <f t="shared" si="6"/>
        <v>230</v>
      </c>
      <c r="G151">
        <f t="shared" si="7"/>
        <v>76.666666666666671</v>
      </c>
      <c r="H151" t="str">
        <f t="shared" si="8"/>
        <v>B</v>
      </c>
    </row>
    <row r="152" spans="1:8" x14ac:dyDescent="0.3">
      <c r="A152">
        <v>251</v>
      </c>
      <c r="B152" t="s">
        <v>13</v>
      </c>
      <c r="C152">
        <v>65</v>
      </c>
      <c r="D152">
        <v>88</v>
      </c>
      <c r="E152">
        <v>74</v>
      </c>
      <c r="F152">
        <f t="shared" si="6"/>
        <v>227</v>
      </c>
      <c r="G152">
        <f t="shared" si="7"/>
        <v>75.666666666666671</v>
      </c>
      <c r="H152" t="str">
        <f t="shared" si="8"/>
        <v>B</v>
      </c>
    </row>
    <row r="153" spans="1:8" x14ac:dyDescent="0.3">
      <c r="A153">
        <v>252</v>
      </c>
      <c r="B153" t="s">
        <v>8</v>
      </c>
      <c r="C153">
        <v>67</v>
      </c>
      <c r="D153">
        <v>48</v>
      </c>
      <c r="E153">
        <v>52</v>
      </c>
      <c r="F153">
        <f t="shared" si="6"/>
        <v>167</v>
      </c>
      <c r="G153">
        <f t="shared" si="7"/>
        <v>55.666666666666664</v>
      </c>
      <c r="H153" t="str">
        <f t="shared" si="8"/>
        <v>C</v>
      </c>
    </row>
    <row r="154" spans="1:8" x14ac:dyDescent="0.3">
      <c r="A154">
        <v>253</v>
      </c>
      <c r="B154" t="s">
        <v>13</v>
      </c>
      <c r="C154">
        <v>85</v>
      </c>
      <c r="D154">
        <v>58</v>
      </c>
      <c r="E154">
        <v>96</v>
      </c>
      <c r="F154">
        <f t="shared" si="6"/>
        <v>239</v>
      </c>
      <c r="G154">
        <f t="shared" si="7"/>
        <v>79.666666666666671</v>
      </c>
      <c r="H154" t="str">
        <f t="shared" si="8"/>
        <v>B</v>
      </c>
    </row>
    <row r="155" spans="1:8" x14ac:dyDescent="0.3">
      <c r="A155">
        <v>254</v>
      </c>
      <c r="B155" t="s">
        <v>15</v>
      </c>
      <c r="C155">
        <v>57</v>
      </c>
      <c r="D155">
        <v>64</v>
      </c>
      <c r="E155">
        <v>51</v>
      </c>
      <c r="F155">
        <f t="shared" si="6"/>
        <v>172</v>
      </c>
      <c r="G155">
        <f t="shared" si="7"/>
        <v>57.333333333333336</v>
      </c>
      <c r="H155" t="str">
        <f t="shared" si="8"/>
        <v>C</v>
      </c>
    </row>
    <row r="156" spans="1:8" x14ac:dyDescent="0.3">
      <c r="A156">
        <v>255</v>
      </c>
      <c r="B156" t="s">
        <v>9</v>
      </c>
      <c r="C156">
        <v>91</v>
      </c>
      <c r="D156">
        <v>80</v>
      </c>
      <c r="E156">
        <v>61</v>
      </c>
      <c r="F156">
        <f t="shared" si="6"/>
        <v>232</v>
      </c>
      <c r="G156">
        <f t="shared" si="7"/>
        <v>77.333333333333329</v>
      </c>
      <c r="H156" t="str">
        <f t="shared" si="8"/>
        <v>B</v>
      </c>
    </row>
    <row r="157" spans="1:8" x14ac:dyDescent="0.3">
      <c r="A157">
        <v>256</v>
      </c>
      <c r="B157" t="s">
        <v>15</v>
      </c>
      <c r="C157">
        <v>35</v>
      </c>
      <c r="D157">
        <v>37</v>
      </c>
      <c r="E157">
        <v>97</v>
      </c>
      <c r="F157">
        <f t="shared" si="6"/>
        <v>169</v>
      </c>
      <c r="G157">
        <f t="shared" si="7"/>
        <v>56.333333333333336</v>
      </c>
      <c r="H157" t="str">
        <f t="shared" si="8"/>
        <v>C</v>
      </c>
    </row>
    <row r="158" spans="1:8" x14ac:dyDescent="0.3">
      <c r="A158">
        <v>257</v>
      </c>
      <c r="B158" t="s">
        <v>11</v>
      </c>
      <c r="C158">
        <v>100</v>
      </c>
      <c r="D158">
        <v>64</v>
      </c>
      <c r="E158">
        <v>96</v>
      </c>
      <c r="F158">
        <f t="shared" si="6"/>
        <v>260</v>
      </c>
      <c r="G158">
        <f t="shared" si="7"/>
        <v>86.666666666666671</v>
      </c>
      <c r="H158" t="str">
        <f t="shared" si="8"/>
        <v>A</v>
      </c>
    </row>
    <row r="159" spans="1:8" x14ac:dyDescent="0.3">
      <c r="A159">
        <v>258</v>
      </c>
      <c r="B159" t="s">
        <v>10</v>
      </c>
      <c r="C159">
        <v>56</v>
      </c>
      <c r="D159">
        <v>79</v>
      </c>
      <c r="E159">
        <v>71</v>
      </c>
      <c r="F159">
        <f t="shared" si="6"/>
        <v>206</v>
      </c>
      <c r="G159">
        <f t="shared" si="7"/>
        <v>68.666666666666671</v>
      </c>
      <c r="H159" t="str">
        <f t="shared" si="8"/>
        <v>B</v>
      </c>
    </row>
    <row r="160" spans="1:8" x14ac:dyDescent="0.3">
      <c r="A160">
        <v>259</v>
      </c>
      <c r="B160" t="s">
        <v>11</v>
      </c>
      <c r="C160">
        <v>77</v>
      </c>
      <c r="D160">
        <v>68</v>
      </c>
      <c r="E160">
        <v>81</v>
      </c>
      <c r="F160">
        <f t="shared" si="6"/>
        <v>226</v>
      </c>
      <c r="G160">
        <f t="shared" si="7"/>
        <v>75.333333333333329</v>
      </c>
      <c r="H160" t="str">
        <f t="shared" si="8"/>
        <v>B</v>
      </c>
    </row>
    <row r="161" spans="1:8" x14ac:dyDescent="0.3">
      <c r="A161">
        <v>260</v>
      </c>
      <c r="B161" t="s">
        <v>15</v>
      </c>
      <c r="C161">
        <v>86</v>
      </c>
      <c r="D161">
        <v>99</v>
      </c>
      <c r="E161">
        <v>65</v>
      </c>
      <c r="F161">
        <f t="shared" si="6"/>
        <v>250</v>
      </c>
      <c r="G161">
        <f t="shared" si="7"/>
        <v>83.333333333333329</v>
      </c>
      <c r="H161" t="str">
        <f t="shared" si="8"/>
        <v>A</v>
      </c>
    </row>
    <row r="162" spans="1:8" x14ac:dyDescent="0.3">
      <c r="A162">
        <v>261</v>
      </c>
      <c r="B162" t="s">
        <v>12</v>
      </c>
      <c r="C162">
        <v>55</v>
      </c>
      <c r="D162">
        <v>87</v>
      </c>
      <c r="E162">
        <v>56</v>
      </c>
      <c r="F162">
        <f t="shared" si="6"/>
        <v>198</v>
      </c>
      <c r="G162">
        <f t="shared" si="7"/>
        <v>66</v>
      </c>
      <c r="H162" t="str">
        <f t="shared" si="8"/>
        <v>B</v>
      </c>
    </row>
    <row r="163" spans="1:8" x14ac:dyDescent="0.3">
      <c r="A163">
        <v>262</v>
      </c>
      <c r="B163" t="s">
        <v>14</v>
      </c>
      <c r="C163">
        <v>69</v>
      </c>
      <c r="D163">
        <v>32</v>
      </c>
      <c r="E163">
        <v>71</v>
      </c>
      <c r="F163">
        <f t="shared" si="6"/>
        <v>172</v>
      </c>
      <c r="G163">
        <f t="shared" si="7"/>
        <v>57.333333333333336</v>
      </c>
      <c r="H163" t="str">
        <f t="shared" si="8"/>
        <v>C</v>
      </c>
    </row>
    <row r="164" spans="1:8" x14ac:dyDescent="0.3">
      <c r="A164">
        <v>263</v>
      </c>
      <c r="B164" t="s">
        <v>13</v>
      </c>
      <c r="C164">
        <v>65</v>
      </c>
      <c r="D164">
        <v>36</v>
      </c>
      <c r="E164">
        <v>87</v>
      </c>
      <c r="F164">
        <f t="shared" si="6"/>
        <v>188</v>
      </c>
      <c r="G164">
        <f t="shared" si="7"/>
        <v>62.666666666666664</v>
      </c>
      <c r="H164" t="str">
        <f t="shared" si="8"/>
        <v>B</v>
      </c>
    </row>
    <row r="165" spans="1:8" x14ac:dyDescent="0.3">
      <c r="A165">
        <v>264</v>
      </c>
      <c r="B165" t="s">
        <v>8</v>
      </c>
      <c r="C165">
        <v>68</v>
      </c>
      <c r="D165">
        <v>74</v>
      </c>
      <c r="E165">
        <v>41</v>
      </c>
      <c r="F165">
        <f t="shared" si="6"/>
        <v>183</v>
      </c>
      <c r="G165">
        <f t="shared" si="7"/>
        <v>61</v>
      </c>
      <c r="H165" t="str">
        <f t="shared" si="8"/>
        <v>B</v>
      </c>
    </row>
    <row r="166" spans="1:8" x14ac:dyDescent="0.3">
      <c r="A166">
        <v>265</v>
      </c>
      <c r="B166" t="s">
        <v>13</v>
      </c>
      <c r="C166">
        <v>35</v>
      </c>
      <c r="D166">
        <v>31</v>
      </c>
      <c r="E166">
        <v>78</v>
      </c>
      <c r="F166">
        <f t="shared" si="6"/>
        <v>144</v>
      </c>
      <c r="G166">
        <f t="shared" si="7"/>
        <v>48</v>
      </c>
      <c r="H166" t="str">
        <f t="shared" si="8"/>
        <v>C</v>
      </c>
    </row>
    <row r="167" spans="1:8" x14ac:dyDescent="0.3">
      <c r="A167">
        <v>266</v>
      </c>
      <c r="B167" t="s">
        <v>11</v>
      </c>
      <c r="C167">
        <v>93</v>
      </c>
      <c r="D167">
        <v>94</v>
      </c>
      <c r="E167">
        <v>64</v>
      </c>
      <c r="F167">
        <f t="shared" si="6"/>
        <v>251</v>
      </c>
      <c r="G167">
        <f t="shared" si="7"/>
        <v>83.666666666666671</v>
      </c>
      <c r="H167" t="str">
        <f t="shared" si="8"/>
        <v>A</v>
      </c>
    </row>
    <row r="168" spans="1:8" x14ac:dyDescent="0.3">
      <c r="A168">
        <v>267</v>
      </c>
      <c r="B168" t="s">
        <v>12</v>
      </c>
      <c r="C168">
        <v>43</v>
      </c>
      <c r="D168">
        <v>47</v>
      </c>
      <c r="E168">
        <v>47</v>
      </c>
      <c r="F168">
        <f t="shared" si="6"/>
        <v>137</v>
      </c>
      <c r="G168">
        <f t="shared" si="7"/>
        <v>45.666666666666664</v>
      </c>
      <c r="H168" t="str">
        <f t="shared" si="8"/>
        <v>C</v>
      </c>
    </row>
    <row r="169" spans="1:8" x14ac:dyDescent="0.3">
      <c r="A169">
        <v>268</v>
      </c>
      <c r="B169" t="s">
        <v>15</v>
      </c>
      <c r="C169">
        <v>97</v>
      </c>
      <c r="D169">
        <v>61</v>
      </c>
      <c r="E169">
        <v>35</v>
      </c>
      <c r="F169">
        <f t="shared" si="6"/>
        <v>193</v>
      </c>
      <c r="G169">
        <f t="shared" si="7"/>
        <v>64.333333333333329</v>
      </c>
      <c r="H169" t="str">
        <f t="shared" si="8"/>
        <v>B</v>
      </c>
    </row>
    <row r="170" spans="1:8" x14ac:dyDescent="0.3">
      <c r="A170">
        <v>269</v>
      </c>
      <c r="B170" t="s">
        <v>14</v>
      </c>
      <c r="C170">
        <v>59</v>
      </c>
      <c r="D170">
        <v>76</v>
      </c>
      <c r="E170">
        <v>77</v>
      </c>
      <c r="F170">
        <f t="shared" si="6"/>
        <v>212</v>
      </c>
      <c r="G170">
        <f t="shared" si="7"/>
        <v>70.666666666666671</v>
      </c>
      <c r="H170" t="str">
        <f t="shared" si="8"/>
        <v>B</v>
      </c>
    </row>
    <row r="171" spans="1:8" x14ac:dyDescent="0.3">
      <c r="A171">
        <v>270</v>
      </c>
      <c r="B171" t="s">
        <v>11</v>
      </c>
      <c r="C171">
        <v>65</v>
      </c>
      <c r="D171">
        <v>81</v>
      </c>
      <c r="E171">
        <v>77</v>
      </c>
      <c r="F171">
        <f t="shared" si="6"/>
        <v>223</v>
      </c>
      <c r="G171">
        <f t="shared" si="7"/>
        <v>74.333333333333329</v>
      </c>
      <c r="H171" t="str">
        <f t="shared" si="8"/>
        <v>B</v>
      </c>
    </row>
    <row r="172" spans="1:8" x14ac:dyDescent="0.3">
      <c r="A172">
        <v>271</v>
      </c>
      <c r="B172" t="s">
        <v>11</v>
      </c>
      <c r="C172">
        <v>49</v>
      </c>
      <c r="D172">
        <v>49</v>
      </c>
      <c r="E172">
        <v>97</v>
      </c>
      <c r="F172">
        <f t="shared" si="6"/>
        <v>195</v>
      </c>
      <c r="G172">
        <f t="shared" si="7"/>
        <v>65</v>
      </c>
      <c r="H172" t="str">
        <f t="shared" si="8"/>
        <v>B</v>
      </c>
    </row>
    <row r="173" spans="1:8" x14ac:dyDescent="0.3">
      <c r="A173">
        <v>272</v>
      </c>
      <c r="B173" t="s">
        <v>12</v>
      </c>
      <c r="C173">
        <v>100</v>
      </c>
      <c r="D173">
        <v>42</v>
      </c>
      <c r="E173">
        <v>67</v>
      </c>
      <c r="F173">
        <f t="shared" si="6"/>
        <v>209</v>
      </c>
      <c r="G173">
        <f t="shared" si="7"/>
        <v>69.666666666666671</v>
      </c>
      <c r="H173" t="str">
        <f t="shared" si="8"/>
        <v>B</v>
      </c>
    </row>
    <row r="174" spans="1:8" x14ac:dyDescent="0.3">
      <c r="A174">
        <v>273</v>
      </c>
      <c r="B174" t="s">
        <v>12</v>
      </c>
      <c r="C174">
        <v>87</v>
      </c>
      <c r="D174">
        <v>35</v>
      </c>
      <c r="E174">
        <v>84</v>
      </c>
      <c r="F174">
        <f t="shared" si="6"/>
        <v>206</v>
      </c>
      <c r="G174">
        <f t="shared" si="7"/>
        <v>68.666666666666671</v>
      </c>
      <c r="H174" t="str">
        <f t="shared" si="8"/>
        <v>B</v>
      </c>
    </row>
    <row r="175" spans="1:8" x14ac:dyDescent="0.3">
      <c r="A175">
        <v>274</v>
      </c>
      <c r="B175" t="s">
        <v>11</v>
      </c>
      <c r="C175">
        <v>55</v>
      </c>
      <c r="D175">
        <v>62</v>
      </c>
      <c r="E175">
        <v>39</v>
      </c>
      <c r="F175">
        <f t="shared" si="6"/>
        <v>156</v>
      </c>
      <c r="G175">
        <f t="shared" si="7"/>
        <v>52</v>
      </c>
      <c r="H175" t="str">
        <f t="shared" si="8"/>
        <v>C</v>
      </c>
    </row>
    <row r="176" spans="1:8" x14ac:dyDescent="0.3">
      <c r="A176">
        <v>275</v>
      </c>
      <c r="B176" t="s">
        <v>10</v>
      </c>
      <c r="C176">
        <v>51</v>
      </c>
      <c r="D176">
        <v>46</v>
      </c>
      <c r="E176">
        <v>87</v>
      </c>
      <c r="F176">
        <f t="shared" si="6"/>
        <v>184</v>
      </c>
      <c r="G176">
        <f t="shared" si="7"/>
        <v>61.333333333333336</v>
      </c>
      <c r="H176" t="str">
        <f t="shared" si="8"/>
        <v>B</v>
      </c>
    </row>
    <row r="177" spans="1:8" x14ac:dyDescent="0.3">
      <c r="A177">
        <v>276</v>
      </c>
      <c r="B177" t="s">
        <v>13</v>
      </c>
      <c r="C177">
        <v>49</v>
      </c>
      <c r="D177">
        <v>43</v>
      </c>
      <c r="E177">
        <v>41</v>
      </c>
      <c r="F177">
        <f t="shared" si="6"/>
        <v>133</v>
      </c>
      <c r="G177">
        <f t="shared" si="7"/>
        <v>44.333333333333336</v>
      </c>
      <c r="H177" t="str">
        <f t="shared" si="8"/>
        <v>C</v>
      </c>
    </row>
    <row r="178" spans="1:8" x14ac:dyDescent="0.3">
      <c r="A178">
        <v>277</v>
      </c>
      <c r="B178" t="s">
        <v>10</v>
      </c>
      <c r="C178">
        <v>67</v>
      </c>
      <c r="D178">
        <v>78</v>
      </c>
      <c r="E178">
        <v>78</v>
      </c>
      <c r="F178">
        <f t="shared" si="6"/>
        <v>223</v>
      </c>
      <c r="G178">
        <f t="shared" si="7"/>
        <v>74.333333333333329</v>
      </c>
      <c r="H178" t="str">
        <f t="shared" si="8"/>
        <v>B</v>
      </c>
    </row>
    <row r="179" spans="1:8" x14ac:dyDescent="0.3">
      <c r="A179">
        <v>278</v>
      </c>
      <c r="B179" t="s">
        <v>12</v>
      </c>
      <c r="C179">
        <v>37</v>
      </c>
      <c r="D179">
        <v>48</v>
      </c>
      <c r="E179">
        <v>84</v>
      </c>
      <c r="F179">
        <f t="shared" si="6"/>
        <v>169</v>
      </c>
      <c r="G179">
        <f t="shared" si="7"/>
        <v>56.333333333333336</v>
      </c>
      <c r="H179" t="str">
        <f t="shared" si="8"/>
        <v>C</v>
      </c>
    </row>
    <row r="180" spans="1:8" x14ac:dyDescent="0.3">
      <c r="A180">
        <v>279</v>
      </c>
      <c r="B180" t="s">
        <v>8</v>
      </c>
      <c r="C180">
        <v>31</v>
      </c>
      <c r="D180">
        <v>77</v>
      </c>
      <c r="E180">
        <v>34</v>
      </c>
      <c r="F180">
        <f t="shared" si="6"/>
        <v>142</v>
      </c>
      <c r="G180">
        <f t="shared" si="7"/>
        <v>47.333333333333336</v>
      </c>
      <c r="H180" t="str">
        <f t="shared" si="8"/>
        <v>C</v>
      </c>
    </row>
    <row r="181" spans="1:8" x14ac:dyDescent="0.3">
      <c r="A181">
        <v>280</v>
      </c>
      <c r="B181" t="s">
        <v>15</v>
      </c>
      <c r="C181">
        <v>99</v>
      </c>
      <c r="D181">
        <v>48</v>
      </c>
      <c r="E181">
        <v>84</v>
      </c>
      <c r="F181">
        <f t="shared" si="6"/>
        <v>231</v>
      </c>
      <c r="G181">
        <f t="shared" si="7"/>
        <v>77</v>
      </c>
      <c r="H181" t="str">
        <f t="shared" si="8"/>
        <v>B</v>
      </c>
    </row>
    <row r="182" spans="1:8" x14ac:dyDescent="0.3">
      <c r="A182">
        <v>281</v>
      </c>
      <c r="B182" t="s">
        <v>11</v>
      </c>
      <c r="C182">
        <v>68</v>
      </c>
      <c r="D182">
        <v>60</v>
      </c>
      <c r="E182">
        <v>94</v>
      </c>
      <c r="F182">
        <f t="shared" si="6"/>
        <v>222</v>
      </c>
      <c r="G182">
        <f t="shared" si="7"/>
        <v>74</v>
      </c>
      <c r="H182" t="str">
        <f t="shared" si="8"/>
        <v>B</v>
      </c>
    </row>
    <row r="183" spans="1:8" x14ac:dyDescent="0.3">
      <c r="A183">
        <v>282</v>
      </c>
      <c r="B183" t="s">
        <v>14</v>
      </c>
      <c r="C183">
        <v>36</v>
      </c>
      <c r="D183">
        <v>56</v>
      </c>
      <c r="E183">
        <v>38</v>
      </c>
      <c r="F183">
        <f t="shared" si="6"/>
        <v>130</v>
      </c>
      <c r="G183">
        <f t="shared" si="7"/>
        <v>43.333333333333336</v>
      </c>
      <c r="H183" t="str">
        <f t="shared" si="8"/>
        <v>C</v>
      </c>
    </row>
    <row r="184" spans="1:8" x14ac:dyDescent="0.3">
      <c r="A184">
        <v>283</v>
      </c>
      <c r="B184" t="s">
        <v>13</v>
      </c>
      <c r="C184">
        <v>78</v>
      </c>
      <c r="D184">
        <v>63</v>
      </c>
      <c r="E184">
        <v>61</v>
      </c>
      <c r="F184">
        <f t="shared" si="6"/>
        <v>202</v>
      </c>
      <c r="G184">
        <f t="shared" si="7"/>
        <v>67.333333333333329</v>
      </c>
      <c r="H184" t="str">
        <f t="shared" si="8"/>
        <v>B</v>
      </c>
    </row>
    <row r="185" spans="1:8" x14ac:dyDescent="0.3">
      <c r="A185">
        <v>284</v>
      </c>
      <c r="B185" t="s">
        <v>9</v>
      </c>
      <c r="C185">
        <v>95</v>
      </c>
      <c r="D185">
        <v>61</v>
      </c>
      <c r="E185">
        <v>40</v>
      </c>
      <c r="F185">
        <f t="shared" si="6"/>
        <v>196</v>
      </c>
      <c r="G185">
        <f t="shared" si="7"/>
        <v>65.333333333333329</v>
      </c>
      <c r="H185" t="str">
        <f t="shared" si="8"/>
        <v>B</v>
      </c>
    </row>
    <row r="186" spans="1:8" x14ac:dyDescent="0.3">
      <c r="A186">
        <v>285</v>
      </c>
      <c r="B186" t="s">
        <v>13</v>
      </c>
      <c r="C186">
        <v>33</v>
      </c>
      <c r="D186">
        <v>90</v>
      </c>
      <c r="E186">
        <v>75</v>
      </c>
      <c r="F186">
        <f t="shared" si="6"/>
        <v>198</v>
      </c>
      <c r="G186">
        <f t="shared" si="7"/>
        <v>66</v>
      </c>
      <c r="H186" t="str">
        <f t="shared" si="8"/>
        <v>B</v>
      </c>
    </row>
    <row r="187" spans="1:8" x14ac:dyDescent="0.3">
      <c r="A187">
        <v>286</v>
      </c>
      <c r="B187" t="s">
        <v>9</v>
      </c>
      <c r="C187">
        <v>71</v>
      </c>
      <c r="D187">
        <v>79</v>
      </c>
      <c r="E187">
        <v>82</v>
      </c>
      <c r="F187">
        <f t="shared" si="6"/>
        <v>232</v>
      </c>
      <c r="G187">
        <f t="shared" si="7"/>
        <v>77.333333333333329</v>
      </c>
      <c r="H187" t="str">
        <f t="shared" si="8"/>
        <v>B</v>
      </c>
    </row>
    <row r="188" spans="1:8" x14ac:dyDescent="0.3">
      <c r="A188">
        <v>287</v>
      </c>
      <c r="B188" t="s">
        <v>15</v>
      </c>
      <c r="C188">
        <v>46</v>
      </c>
      <c r="D188">
        <v>36</v>
      </c>
      <c r="E188">
        <v>38</v>
      </c>
      <c r="F188">
        <f t="shared" si="6"/>
        <v>120</v>
      </c>
      <c r="G188">
        <f t="shared" si="7"/>
        <v>40</v>
      </c>
      <c r="H188" t="str">
        <f t="shared" si="8"/>
        <v>C</v>
      </c>
    </row>
    <row r="189" spans="1:8" x14ac:dyDescent="0.3">
      <c r="A189">
        <v>288</v>
      </c>
      <c r="B189" t="s">
        <v>11</v>
      </c>
      <c r="C189">
        <v>43</v>
      </c>
      <c r="D189">
        <v>41</v>
      </c>
      <c r="E189">
        <v>69</v>
      </c>
      <c r="F189">
        <f t="shared" si="6"/>
        <v>153</v>
      </c>
      <c r="G189">
        <f t="shared" si="7"/>
        <v>51</v>
      </c>
      <c r="H189" t="str">
        <f t="shared" si="8"/>
        <v>C</v>
      </c>
    </row>
    <row r="190" spans="1:8" x14ac:dyDescent="0.3">
      <c r="A190">
        <v>289</v>
      </c>
      <c r="B190" t="s">
        <v>14</v>
      </c>
      <c r="C190">
        <v>33</v>
      </c>
      <c r="D190">
        <v>96</v>
      </c>
      <c r="E190">
        <v>51</v>
      </c>
      <c r="F190">
        <f t="shared" si="6"/>
        <v>180</v>
      </c>
      <c r="G190">
        <f t="shared" si="7"/>
        <v>60</v>
      </c>
      <c r="H190" t="str">
        <f t="shared" si="8"/>
        <v>B</v>
      </c>
    </row>
    <row r="191" spans="1:8" x14ac:dyDescent="0.3">
      <c r="A191">
        <v>290</v>
      </c>
      <c r="B191" t="s">
        <v>12</v>
      </c>
      <c r="C191">
        <v>38</v>
      </c>
      <c r="D191">
        <v>41</v>
      </c>
      <c r="E191">
        <v>74</v>
      </c>
      <c r="F191">
        <f t="shared" si="6"/>
        <v>153</v>
      </c>
      <c r="G191">
        <f t="shared" si="7"/>
        <v>51</v>
      </c>
      <c r="H191" t="str">
        <f t="shared" si="8"/>
        <v>C</v>
      </c>
    </row>
    <row r="192" spans="1:8" x14ac:dyDescent="0.3">
      <c r="A192">
        <v>291</v>
      </c>
      <c r="B192" t="s">
        <v>12</v>
      </c>
      <c r="C192">
        <v>67</v>
      </c>
      <c r="D192">
        <v>83</v>
      </c>
      <c r="E192">
        <v>89</v>
      </c>
      <c r="F192">
        <f t="shared" si="6"/>
        <v>239</v>
      </c>
      <c r="G192">
        <f t="shared" si="7"/>
        <v>79.666666666666671</v>
      </c>
      <c r="H192" t="str">
        <f t="shared" si="8"/>
        <v>B</v>
      </c>
    </row>
    <row r="193" spans="1:8" x14ac:dyDescent="0.3">
      <c r="A193">
        <v>292</v>
      </c>
      <c r="B193" t="s">
        <v>8</v>
      </c>
      <c r="C193">
        <v>67</v>
      </c>
      <c r="D193">
        <v>69</v>
      </c>
      <c r="E193">
        <v>51</v>
      </c>
      <c r="F193">
        <f t="shared" si="6"/>
        <v>187</v>
      </c>
      <c r="G193">
        <f t="shared" si="7"/>
        <v>62.333333333333336</v>
      </c>
      <c r="H193" t="str">
        <f t="shared" si="8"/>
        <v>B</v>
      </c>
    </row>
    <row r="194" spans="1:8" x14ac:dyDescent="0.3">
      <c r="A194">
        <v>293</v>
      </c>
      <c r="B194" t="s">
        <v>13</v>
      </c>
      <c r="C194">
        <v>63</v>
      </c>
      <c r="D194">
        <v>73</v>
      </c>
      <c r="E194">
        <v>45</v>
      </c>
      <c r="F194">
        <f t="shared" ref="F194:F257" si="9">SUM(C194:E194)</f>
        <v>181</v>
      </c>
      <c r="G194">
        <f t="shared" ref="G194:G257" si="10">F194/3</f>
        <v>60.333333333333336</v>
      </c>
      <c r="H194" t="str">
        <f t="shared" ref="H194:H257" si="11">IF(G194&gt;=80,"A",IF(G194&gt;=60,"B",IF(G194&gt;=40,"C","F")))</f>
        <v>B</v>
      </c>
    </row>
    <row r="195" spans="1:8" x14ac:dyDescent="0.3">
      <c r="A195">
        <v>294</v>
      </c>
      <c r="B195" t="s">
        <v>10</v>
      </c>
      <c r="C195">
        <v>48</v>
      </c>
      <c r="D195">
        <v>68</v>
      </c>
      <c r="E195">
        <v>37</v>
      </c>
      <c r="F195">
        <f t="shared" si="9"/>
        <v>153</v>
      </c>
      <c r="G195">
        <f t="shared" si="10"/>
        <v>51</v>
      </c>
      <c r="H195" t="str">
        <f t="shared" si="11"/>
        <v>C</v>
      </c>
    </row>
    <row r="196" spans="1:8" x14ac:dyDescent="0.3">
      <c r="A196">
        <v>295</v>
      </c>
      <c r="B196" t="s">
        <v>13</v>
      </c>
      <c r="C196">
        <v>98</v>
      </c>
      <c r="D196">
        <v>61</v>
      </c>
      <c r="E196">
        <v>37</v>
      </c>
      <c r="F196">
        <f t="shared" si="9"/>
        <v>196</v>
      </c>
      <c r="G196">
        <f t="shared" si="10"/>
        <v>65.333333333333329</v>
      </c>
      <c r="H196" t="str">
        <f t="shared" si="11"/>
        <v>B</v>
      </c>
    </row>
    <row r="197" spans="1:8" x14ac:dyDescent="0.3">
      <c r="A197">
        <v>296</v>
      </c>
      <c r="B197" t="s">
        <v>10</v>
      </c>
      <c r="C197">
        <v>91</v>
      </c>
      <c r="D197">
        <v>46</v>
      </c>
      <c r="E197">
        <v>66</v>
      </c>
      <c r="F197">
        <f t="shared" si="9"/>
        <v>203</v>
      </c>
      <c r="G197">
        <f t="shared" si="10"/>
        <v>67.666666666666671</v>
      </c>
      <c r="H197" t="str">
        <f t="shared" si="11"/>
        <v>B</v>
      </c>
    </row>
    <row r="198" spans="1:8" x14ac:dyDescent="0.3">
      <c r="A198">
        <v>297</v>
      </c>
      <c r="B198" t="s">
        <v>8</v>
      </c>
      <c r="C198">
        <v>42</v>
      </c>
      <c r="D198">
        <v>46</v>
      </c>
      <c r="E198">
        <v>68</v>
      </c>
      <c r="F198">
        <f t="shared" si="9"/>
        <v>156</v>
      </c>
      <c r="G198">
        <f t="shared" si="10"/>
        <v>52</v>
      </c>
      <c r="H198" t="str">
        <f t="shared" si="11"/>
        <v>C</v>
      </c>
    </row>
    <row r="199" spans="1:8" x14ac:dyDescent="0.3">
      <c r="A199">
        <v>298</v>
      </c>
      <c r="B199" t="s">
        <v>9</v>
      </c>
      <c r="C199">
        <v>67</v>
      </c>
      <c r="D199">
        <v>89</v>
      </c>
      <c r="E199">
        <v>50</v>
      </c>
      <c r="F199">
        <f t="shared" si="9"/>
        <v>206</v>
      </c>
      <c r="G199">
        <f t="shared" si="10"/>
        <v>68.666666666666671</v>
      </c>
      <c r="H199" t="str">
        <f t="shared" si="11"/>
        <v>B</v>
      </c>
    </row>
    <row r="200" spans="1:8" x14ac:dyDescent="0.3">
      <c r="A200">
        <v>299</v>
      </c>
      <c r="B200" t="s">
        <v>13</v>
      </c>
      <c r="C200">
        <v>36</v>
      </c>
      <c r="D200">
        <v>51</v>
      </c>
      <c r="E200">
        <v>97</v>
      </c>
      <c r="F200">
        <f t="shared" si="9"/>
        <v>184</v>
      </c>
      <c r="G200">
        <f t="shared" si="10"/>
        <v>61.333333333333336</v>
      </c>
      <c r="H200" t="str">
        <f t="shared" si="11"/>
        <v>B</v>
      </c>
    </row>
    <row r="201" spans="1:8" x14ac:dyDescent="0.3">
      <c r="A201">
        <v>300</v>
      </c>
      <c r="B201" t="s">
        <v>13</v>
      </c>
      <c r="C201">
        <v>97</v>
      </c>
      <c r="D201">
        <v>75</v>
      </c>
      <c r="E201">
        <v>54</v>
      </c>
      <c r="F201">
        <f t="shared" si="9"/>
        <v>226</v>
      </c>
      <c r="G201">
        <f t="shared" si="10"/>
        <v>75.333333333333329</v>
      </c>
      <c r="H201" t="str">
        <f t="shared" si="11"/>
        <v>B</v>
      </c>
    </row>
    <row r="202" spans="1:8" x14ac:dyDescent="0.3">
      <c r="A202">
        <v>301</v>
      </c>
      <c r="B202" t="s">
        <v>11</v>
      </c>
      <c r="C202">
        <v>88</v>
      </c>
      <c r="D202">
        <v>42</v>
      </c>
      <c r="E202">
        <v>60</v>
      </c>
      <c r="F202">
        <f t="shared" si="9"/>
        <v>190</v>
      </c>
      <c r="G202">
        <f t="shared" si="10"/>
        <v>63.333333333333336</v>
      </c>
      <c r="H202" t="str">
        <f t="shared" si="11"/>
        <v>B</v>
      </c>
    </row>
    <row r="203" spans="1:8" x14ac:dyDescent="0.3">
      <c r="A203">
        <v>302</v>
      </c>
      <c r="B203" t="s">
        <v>8</v>
      </c>
      <c r="C203">
        <v>58</v>
      </c>
      <c r="D203">
        <v>35</v>
      </c>
      <c r="E203">
        <v>84</v>
      </c>
      <c r="F203">
        <f t="shared" si="9"/>
        <v>177</v>
      </c>
      <c r="G203">
        <f t="shared" si="10"/>
        <v>59</v>
      </c>
      <c r="H203" t="str">
        <f t="shared" si="11"/>
        <v>C</v>
      </c>
    </row>
    <row r="204" spans="1:8" x14ac:dyDescent="0.3">
      <c r="A204">
        <v>303</v>
      </c>
      <c r="B204" t="s">
        <v>12</v>
      </c>
      <c r="C204">
        <v>39</v>
      </c>
      <c r="D204">
        <v>76</v>
      </c>
      <c r="E204">
        <v>58</v>
      </c>
      <c r="F204">
        <f t="shared" si="9"/>
        <v>173</v>
      </c>
      <c r="G204">
        <f t="shared" si="10"/>
        <v>57.666666666666664</v>
      </c>
      <c r="H204" t="str">
        <f t="shared" si="11"/>
        <v>C</v>
      </c>
    </row>
    <row r="205" spans="1:8" x14ac:dyDescent="0.3">
      <c r="A205">
        <v>304</v>
      </c>
      <c r="B205" t="s">
        <v>15</v>
      </c>
      <c r="C205">
        <v>69</v>
      </c>
      <c r="D205">
        <v>58</v>
      </c>
      <c r="E205">
        <v>31</v>
      </c>
      <c r="F205">
        <f t="shared" si="9"/>
        <v>158</v>
      </c>
      <c r="G205">
        <f t="shared" si="10"/>
        <v>52.666666666666664</v>
      </c>
      <c r="H205" t="str">
        <f t="shared" si="11"/>
        <v>C</v>
      </c>
    </row>
    <row r="206" spans="1:8" x14ac:dyDescent="0.3">
      <c r="A206">
        <v>305</v>
      </c>
      <c r="B206" t="s">
        <v>12</v>
      </c>
      <c r="C206">
        <v>65</v>
      </c>
      <c r="D206">
        <v>59</v>
      </c>
      <c r="E206">
        <v>89</v>
      </c>
      <c r="F206">
        <f t="shared" si="9"/>
        <v>213</v>
      </c>
      <c r="G206">
        <f t="shared" si="10"/>
        <v>71</v>
      </c>
      <c r="H206" t="str">
        <f t="shared" si="11"/>
        <v>B</v>
      </c>
    </row>
    <row r="207" spans="1:8" x14ac:dyDescent="0.3">
      <c r="A207">
        <v>306</v>
      </c>
      <c r="B207" t="s">
        <v>11</v>
      </c>
      <c r="C207">
        <v>72</v>
      </c>
      <c r="D207">
        <v>98</v>
      </c>
      <c r="E207">
        <v>96</v>
      </c>
      <c r="F207">
        <f t="shared" si="9"/>
        <v>266</v>
      </c>
      <c r="G207">
        <f t="shared" si="10"/>
        <v>88.666666666666671</v>
      </c>
      <c r="H207" t="str">
        <f t="shared" si="11"/>
        <v>A</v>
      </c>
    </row>
    <row r="208" spans="1:8" x14ac:dyDescent="0.3">
      <c r="A208">
        <v>307</v>
      </c>
      <c r="B208" t="s">
        <v>14</v>
      </c>
      <c r="C208">
        <v>52</v>
      </c>
      <c r="D208">
        <v>67</v>
      </c>
      <c r="E208">
        <v>94</v>
      </c>
      <c r="F208">
        <f t="shared" si="9"/>
        <v>213</v>
      </c>
      <c r="G208">
        <f t="shared" si="10"/>
        <v>71</v>
      </c>
      <c r="H208" t="str">
        <f t="shared" si="11"/>
        <v>B</v>
      </c>
    </row>
    <row r="209" spans="1:8" x14ac:dyDescent="0.3">
      <c r="A209">
        <v>308</v>
      </c>
      <c r="B209" t="s">
        <v>11</v>
      </c>
      <c r="C209">
        <v>96</v>
      </c>
      <c r="D209">
        <v>66</v>
      </c>
      <c r="E209">
        <v>98</v>
      </c>
      <c r="F209">
        <f t="shared" si="9"/>
        <v>260</v>
      </c>
      <c r="G209">
        <f t="shared" si="10"/>
        <v>86.666666666666671</v>
      </c>
      <c r="H209" t="str">
        <f t="shared" si="11"/>
        <v>A</v>
      </c>
    </row>
    <row r="210" spans="1:8" x14ac:dyDescent="0.3">
      <c r="A210">
        <v>309</v>
      </c>
      <c r="B210" t="s">
        <v>8</v>
      </c>
      <c r="C210">
        <v>59</v>
      </c>
      <c r="D210">
        <v>39</v>
      </c>
      <c r="E210">
        <v>31</v>
      </c>
      <c r="F210">
        <f t="shared" si="9"/>
        <v>129</v>
      </c>
      <c r="G210">
        <f t="shared" si="10"/>
        <v>43</v>
      </c>
      <c r="H210" t="str">
        <f t="shared" si="11"/>
        <v>C</v>
      </c>
    </row>
    <row r="211" spans="1:8" x14ac:dyDescent="0.3">
      <c r="A211">
        <v>310</v>
      </c>
      <c r="B211" t="s">
        <v>15</v>
      </c>
      <c r="C211">
        <v>48</v>
      </c>
      <c r="D211">
        <v>60</v>
      </c>
      <c r="E211">
        <v>39</v>
      </c>
      <c r="F211">
        <f t="shared" si="9"/>
        <v>147</v>
      </c>
      <c r="G211">
        <f t="shared" si="10"/>
        <v>49</v>
      </c>
      <c r="H211" t="str">
        <f t="shared" si="11"/>
        <v>C</v>
      </c>
    </row>
    <row r="212" spans="1:8" x14ac:dyDescent="0.3">
      <c r="A212">
        <v>311</v>
      </c>
      <c r="B212" t="s">
        <v>8</v>
      </c>
      <c r="C212">
        <v>63</v>
      </c>
      <c r="D212">
        <v>88</v>
      </c>
      <c r="E212">
        <v>85</v>
      </c>
      <c r="F212">
        <f t="shared" si="9"/>
        <v>236</v>
      </c>
      <c r="G212">
        <f t="shared" si="10"/>
        <v>78.666666666666671</v>
      </c>
      <c r="H212" t="str">
        <f t="shared" si="11"/>
        <v>B</v>
      </c>
    </row>
    <row r="213" spans="1:8" x14ac:dyDescent="0.3">
      <c r="A213">
        <v>312</v>
      </c>
      <c r="B213" t="s">
        <v>8</v>
      </c>
      <c r="C213">
        <v>61</v>
      </c>
      <c r="D213">
        <v>99</v>
      </c>
      <c r="E213">
        <v>81</v>
      </c>
      <c r="F213">
        <f t="shared" si="9"/>
        <v>241</v>
      </c>
      <c r="G213">
        <f t="shared" si="10"/>
        <v>80.333333333333329</v>
      </c>
      <c r="H213" t="str">
        <f t="shared" si="11"/>
        <v>A</v>
      </c>
    </row>
    <row r="214" spans="1:8" x14ac:dyDescent="0.3">
      <c r="A214">
        <v>313</v>
      </c>
      <c r="B214" t="s">
        <v>9</v>
      </c>
      <c r="C214">
        <v>73</v>
      </c>
      <c r="D214">
        <v>47</v>
      </c>
      <c r="E214">
        <v>38</v>
      </c>
      <c r="F214">
        <f t="shared" si="9"/>
        <v>158</v>
      </c>
      <c r="G214">
        <f t="shared" si="10"/>
        <v>52.666666666666664</v>
      </c>
      <c r="H214" t="str">
        <f t="shared" si="11"/>
        <v>C</v>
      </c>
    </row>
    <row r="215" spans="1:8" x14ac:dyDescent="0.3">
      <c r="A215">
        <v>314</v>
      </c>
      <c r="B215" t="s">
        <v>12</v>
      </c>
      <c r="C215">
        <v>48</v>
      </c>
      <c r="D215">
        <v>73</v>
      </c>
      <c r="E215">
        <v>71</v>
      </c>
      <c r="F215">
        <f t="shared" si="9"/>
        <v>192</v>
      </c>
      <c r="G215">
        <f t="shared" si="10"/>
        <v>64</v>
      </c>
      <c r="H215" t="str">
        <f t="shared" si="11"/>
        <v>B</v>
      </c>
    </row>
    <row r="216" spans="1:8" x14ac:dyDescent="0.3">
      <c r="A216">
        <v>315</v>
      </c>
      <c r="B216" t="s">
        <v>12</v>
      </c>
      <c r="C216">
        <v>100</v>
      </c>
      <c r="D216">
        <v>95</v>
      </c>
      <c r="E216">
        <v>75</v>
      </c>
      <c r="F216">
        <f t="shared" si="9"/>
        <v>270</v>
      </c>
      <c r="G216">
        <f t="shared" si="10"/>
        <v>90</v>
      </c>
      <c r="H216" t="str">
        <f t="shared" si="11"/>
        <v>A</v>
      </c>
    </row>
    <row r="217" spans="1:8" x14ac:dyDescent="0.3">
      <c r="A217">
        <v>316</v>
      </c>
      <c r="B217" t="s">
        <v>10</v>
      </c>
      <c r="C217">
        <v>34</v>
      </c>
      <c r="D217">
        <v>80</v>
      </c>
      <c r="E217">
        <v>71</v>
      </c>
      <c r="F217">
        <f t="shared" si="9"/>
        <v>185</v>
      </c>
      <c r="G217">
        <f t="shared" si="10"/>
        <v>61.666666666666664</v>
      </c>
      <c r="H217" t="str">
        <f t="shared" si="11"/>
        <v>B</v>
      </c>
    </row>
    <row r="218" spans="1:8" x14ac:dyDescent="0.3">
      <c r="A218">
        <v>317</v>
      </c>
      <c r="B218" t="s">
        <v>11</v>
      </c>
      <c r="C218">
        <v>36</v>
      </c>
      <c r="D218">
        <v>35</v>
      </c>
      <c r="E218">
        <v>93</v>
      </c>
      <c r="F218">
        <f t="shared" si="9"/>
        <v>164</v>
      </c>
      <c r="G218">
        <f t="shared" si="10"/>
        <v>54.666666666666664</v>
      </c>
      <c r="H218" t="str">
        <f t="shared" si="11"/>
        <v>C</v>
      </c>
    </row>
    <row r="219" spans="1:8" x14ac:dyDescent="0.3">
      <c r="A219">
        <v>318</v>
      </c>
      <c r="B219" t="s">
        <v>12</v>
      </c>
      <c r="C219">
        <v>50</v>
      </c>
      <c r="D219">
        <v>95</v>
      </c>
      <c r="E219">
        <v>48</v>
      </c>
      <c r="F219">
        <f t="shared" si="9"/>
        <v>193</v>
      </c>
      <c r="G219">
        <f t="shared" si="10"/>
        <v>64.333333333333329</v>
      </c>
      <c r="H219" t="str">
        <f t="shared" si="11"/>
        <v>B</v>
      </c>
    </row>
    <row r="220" spans="1:8" x14ac:dyDescent="0.3">
      <c r="A220">
        <v>319</v>
      </c>
      <c r="B220" t="s">
        <v>13</v>
      </c>
      <c r="C220">
        <v>78</v>
      </c>
      <c r="D220">
        <v>30</v>
      </c>
      <c r="E220">
        <v>100</v>
      </c>
      <c r="F220">
        <f t="shared" si="9"/>
        <v>208</v>
      </c>
      <c r="G220">
        <f t="shared" si="10"/>
        <v>69.333333333333329</v>
      </c>
      <c r="H220" t="str">
        <f t="shared" si="11"/>
        <v>B</v>
      </c>
    </row>
    <row r="221" spans="1:8" x14ac:dyDescent="0.3">
      <c r="A221">
        <v>320</v>
      </c>
      <c r="B221" t="s">
        <v>12</v>
      </c>
      <c r="C221">
        <v>52</v>
      </c>
      <c r="D221">
        <v>78</v>
      </c>
      <c r="E221">
        <v>57</v>
      </c>
      <c r="F221">
        <f t="shared" si="9"/>
        <v>187</v>
      </c>
      <c r="G221">
        <f t="shared" si="10"/>
        <v>62.333333333333336</v>
      </c>
      <c r="H221" t="str">
        <f t="shared" si="11"/>
        <v>B</v>
      </c>
    </row>
    <row r="222" spans="1:8" x14ac:dyDescent="0.3">
      <c r="A222">
        <v>321</v>
      </c>
      <c r="B222" t="s">
        <v>10</v>
      </c>
      <c r="C222">
        <v>92</v>
      </c>
      <c r="D222">
        <v>33</v>
      </c>
      <c r="E222">
        <v>50</v>
      </c>
      <c r="F222">
        <f t="shared" si="9"/>
        <v>175</v>
      </c>
      <c r="G222">
        <f t="shared" si="10"/>
        <v>58.333333333333336</v>
      </c>
      <c r="H222" t="str">
        <f t="shared" si="11"/>
        <v>C</v>
      </c>
    </row>
    <row r="223" spans="1:8" x14ac:dyDescent="0.3">
      <c r="A223">
        <v>322</v>
      </c>
      <c r="B223" t="s">
        <v>14</v>
      </c>
      <c r="C223">
        <v>54</v>
      </c>
      <c r="D223">
        <v>46</v>
      </c>
      <c r="E223">
        <v>70</v>
      </c>
      <c r="F223">
        <f t="shared" si="9"/>
        <v>170</v>
      </c>
      <c r="G223">
        <f t="shared" si="10"/>
        <v>56.666666666666664</v>
      </c>
      <c r="H223" t="str">
        <f t="shared" si="11"/>
        <v>C</v>
      </c>
    </row>
    <row r="224" spans="1:8" x14ac:dyDescent="0.3">
      <c r="A224">
        <v>323</v>
      </c>
      <c r="B224" t="s">
        <v>12</v>
      </c>
      <c r="C224">
        <v>50</v>
      </c>
      <c r="D224">
        <v>86</v>
      </c>
      <c r="E224">
        <v>61</v>
      </c>
      <c r="F224">
        <f t="shared" si="9"/>
        <v>197</v>
      </c>
      <c r="G224">
        <f t="shared" si="10"/>
        <v>65.666666666666671</v>
      </c>
      <c r="H224" t="str">
        <f t="shared" si="11"/>
        <v>B</v>
      </c>
    </row>
    <row r="225" spans="1:8" x14ac:dyDescent="0.3">
      <c r="A225">
        <v>324</v>
      </c>
      <c r="B225" t="s">
        <v>12</v>
      </c>
      <c r="C225">
        <v>68</v>
      </c>
      <c r="D225">
        <v>38</v>
      </c>
      <c r="E225">
        <v>39</v>
      </c>
      <c r="F225">
        <f t="shared" si="9"/>
        <v>145</v>
      </c>
      <c r="G225">
        <f t="shared" si="10"/>
        <v>48.333333333333336</v>
      </c>
      <c r="H225" t="str">
        <f t="shared" si="11"/>
        <v>C</v>
      </c>
    </row>
    <row r="226" spans="1:8" x14ac:dyDescent="0.3">
      <c r="A226">
        <v>325</v>
      </c>
      <c r="B226" t="s">
        <v>9</v>
      </c>
      <c r="C226">
        <v>74</v>
      </c>
      <c r="D226">
        <v>100</v>
      </c>
      <c r="E226">
        <v>42</v>
      </c>
      <c r="F226">
        <f t="shared" si="9"/>
        <v>216</v>
      </c>
      <c r="G226">
        <f t="shared" si="10"/>
        <v>72</v>
      </c>
      <c r="H226" t="str">
        <f t="shared" si="11"/>
        <v>B</v>
      </c>
    </row>
    <row r="227" spans="1:8" x14ac:dyDescent="0.3">
      <c r="A227">
        <v>326</v>
      </c>
      <c r="B227" t="s">
        <v>9</v>
      </c>
      <c r="C227">
        <v>56</v>
      </c>
      <c r="D227">
        <v>85</v>
      </c>
      <c r="E227">
        <v>71</v>
      </c>
      <c r="F227">
        <f t="shared" si="9"/>
        <v>212</v>
      </c>
      <c r="G227">
        <f t="shared" si="10"/>
        <v>70.666666666666671</v>
      </c>
      <c r="H227" t="str">
        <f t="shared" si="11"/>
        <v>B</v>
      </c>
    </row>
    <row r="228" spans="1:8" x14ac:dyDescent="0.3">
      <c r="A228">
        <v>327</v>
      </c>
      <c r="B228" t="s">
        <v>14</v>
      </c>
      <c r="C228">
        <v>89</v>
      </c>
      <c r="D228">
        <v>87</v>
      </c>
      <c r="E228">
        <v>35</v>
      </c>
      <c r="F228">
        <f t="shared" si="9"/>
        <v>211</v>
      </c>
      <c r="G228">
        <f t="shared" si="10"/>
        <v>70.333333333333329</v>
      </c>
      <c r="H228" t="str">
        <f t="shared" si="11"/>
        <v>B</v>
      </c>
    </row>
    <row r="229" spans="1:8" x14ac:dyDescent="0.3">
      <c r="A229">
        <v>328</v>
      </c>
      <c r="B229" t="s">
        <v>11</v>
      </c>
      <c r="C229">
        <v>99</v>
      </c>
      <c r="D229">
        <v>59</v>
      </c>
      <c r="E229">
        <v>58</v>
      </c>
      <c r="F229">
        <f t="shared" si="9"/>
        <v>216</v>
      </c>
      <c r="G229">
        <f t="shared" si="10"/>
        <v>72</v>
      </c>
      <c r="H229" t="str">
        <f t="shared" si="11"/>
        <v>B</v>
      </c>
    </row>
    <row r="230" spans="1:8" x14ac:dyDescent="0.3">
      <c r="A230">
        <v>329</v>
      </c>
      <c r="B230" t="s">
        <v>12</v>
      </c>
      <c r="C230">
        <v>60</v>
      </c>
      <c r="D230">
        <v>78</v>
      </c>
      <c r="E230">
        <v>74</v>
      </c>
      <c r="F230">
        <f t="shared" si="9"/>
        <v>212</v>
      </c>
      <c r="G230">
        <f t="shared" si="10"/>
        <v>70.666666666666671</v>
      </c>
      <c r="H230" t="str">
        <f t="shared" si="11"/>
        <v>B</v>
      </c>
    </row>
    <row r="231" spans="1:8" x14ac:dyDescent="0.3">
      <c r="A231">
        <v>330</v>
      </c>
      <c r="B231" t="s">
        <v>13</v>
      </c>
      <c r="C231">
        <v>32</v>
      </c>
      <c r="D231">
        <v>67</v>
      </c>
      <c r="E231">
        <v>100</v>
      </c>
      <c r="F231">
        <f t="shared" si="9"/>
        <v>199</v>
      </c>
      <c r="G231">
        <f t="shared" si="10"/>
        <v>66.333333333333329</v>
      </c>
      <c r="H231" t="str">
        <f t="shared" si="11"/>
        <v>B</v>
      </c>
    </row>
    <row r="232" spans="1:8" x14ac:dyDescent="0.3">
      <c r="A232">
        <v>331</v>
      </c>
      <c r="B232" t="s">
        <v>10</v>
      </c>
      <c r="C232">
        <v>72</v>
      </c>
      <c r="D232">
        <v>30</v>
      </c>
      <c r="E232">
        <v>95</v>
      </c>
      <c r="F232">
        <f t="shared" si="9"/>
        <v>197</v>
      </c>
      <c r="G232">
        <f t="shared" si="10"/>
        <v>65.666666666666671</v>
      </c>
      <c r="H232" t="str">
        <f t="shared" si="11"/>
        <v>B</v>
      </c>
    </row>
    <row r="233" spans="1:8" x14ac:dyDescent="0.3">
      <c r="A233">
        <v>332</v>
      </c>
      <c r="B233" t="s">
        <v>15</v>
      </c>
      <c r="C233">
        <v>74</v>
      </c>
      <c r="D233">
        <v>81</v>
      </c>
      <c r="E233">
        <v>91</v>
      </c>
      <c r="F233">
        <f t="shared" si="9"/>
        <v>246</v>
      </c>
      <c r="G233">
        <f t="shared" si="10"/>
        <v>82</v>
      </c>
      <c r="H233" t="str">
        <f t="shared" si="11"/>
        <v>A</v>
      </c>
    </row>
    <row r="234" spans="1:8" x14ac:dyDescent="0.3">
      <c r="A234">
        <v>333</v>
      </c>
      <c r="B234" t="s">
        <v>8</v>
      </c>
      <c r="C234">
        <v>70</v>
      </c>
      <c r="D234">
        <v>32</v>
      </c>
      <c r="E234">
        <v>33</v>
      </c>
      <c r="F234">
        <f t="shared" si="9"/>
        <v>135</v>
      </c>
      <c r="G234">
        <f t="shared" si="10"/>
        <v>45</v>
      </c>
      <c r="H234" t="str">
        <f t="shared" si="11"/>
        <v>C</v>
      </c>
    </row>
    <row r="235" spans="1:8" x14ac:dyDescent="0.3">
      <c r="A235">
        <v>334</v>
      </c>
      <c r="B235" t="s">
        <v>14</v>
      </c>
      <c r="C235">
        <v>97</v>
      </c>
      <c r="D235">
        <v>40</v>
      </c>
      <c r="E235">
        <v>68</v>
      </c>
      <c r="F235">
        <f t="shared" si="9"/>
        <v>205</v>
      </c>
      <c r="G235">
        <f t="shared" si="10"/>
        <v>68.333333333333329</v>
      </c>
      <c r="H235" t="str">
        <f t="shared" si="11"/>
        <v>B</v>
      </c>
    </row>
    <row r="236" spans="1:8" x14ac:dyDescent="0.3">
      <c r="A236">
        <v>335</v>
      </c>
      <c r="B236" t="s">
        <v>15</v>
      </c>
      <c r="C236">
        <v>74</v>
      </c>
      <c r="D236">
        <v>46</v>
      </c>
      <c r="E236">
        <v>94</v>
      </c>
      <c r="F236">
        <f t="shared" si="9"/>
        <v>214</v>
      </c>
      <c r="G236">
        <f t="shared" si="10"/>
        <v>71.333333333333329</v>
      </c>
      <c r="H236" t="str">
        <f t="shared" si="11"/>
        <v>B</v>
      </c>
    </row>
    <row r="237" spans="1:8" x14ac:dyDescent="0.3">
      <c r="A237">
        <v>336</v>
      </c>
      <c r="B237" t="s">
        <v>13</v>
      </c>
      <c r="C237">
        <v>49</v>
      </c>
      <c r="D237">
        <v>71</v>
      </c>
      <c r="E237">
        <v>49</v>
      </c>
      <c r="F237">
        <f t="shared" si="9"/>
        <v>169</v>
      </c>
      <c r="G237">
        <f t="shared" si="10"/>
        <v>56.333333333333336</v>
      </c>
      <c r="H237" t="str">
        <f t="shared" si="11"/>
        <v>C</v>
      </c>
    </row>
    <row r="238" spans="1:8" x14ac:dyDescent="0.3">
      <c r="A238">
        <v>337</v>
      </c>
      <c r="B238" t="s">
        <v>12</v>
      </c>
      <c r="C238">
        <v>37</v>
      </c>
      <c r="D238">
        <v>59</v>
      </c>
      <c r="E238">
        <v>76</v>
      </c>
      <c r="F238">
        <f t="shared" si="9"/>
        <v>172</v>
      </c>
      <c r="G238">
        <f t="shared" si="10"/>
        <v>57.333333333333336</v>
      </c>
      <c r="H238" t="str">
        <f t="shared" si="11"/>
        <v>C</v>
      </c>
    </row>
    <row r="239" spans="1:8" x14ac:dyDescent="0.3">
      <c r="A239">
        <v>338</v>
      </c>
      <c r="B239" t="s">
        <v>8</v>
      </c>
      <c r="C239">
        <v>98</v>
      </c>
      <c r="D239">
        <v>62</v>
      </c>
      <c r="E239">
        <v>62</v>
      </c>
      <c r="F239">
        <f t="shared" si="9"/>
        <v>222</v>
      </c>
      <c r="G239">
        <f t="shared" si="10"/>
        <v>74</v>
      </c>
      <c r="H239" t="str">
        <f t="shared" si="11"/>
        <v>B</v>
      </c>
    </row>
    <row r="240" spans="1:8" x14ac:dyDescent="0.3">
      <c r="A240">
        <v>339</v>
      </c>
      <c r="B240" t="s">
        <v>15</v>
      </c>
      <c r="C240">
        <v>56</v>
      </c>
      <c r="D240">
        <v>64</v>
      </c>
      <c r="E240">
        <v>45</v>
      </c>
      <c r="F240">
        <f t="shared" si="9"/>
        <v>165</v>
      </c>
      <c r="G240">
        <f t="shared" si="10"/>
        <v>55</v>
      </c>
      <c r="H240" t="str">
        <f t="shared" si="11"/>
        <v>C</v>
      </c>
    </row>
    <row r="241" spans="1:8" x14ac:dyDescent="0.3">
      <c r="A241">
        <v>340</v>
      </c>
      <c r="B241" t="s">
        <v>13</v>
      </c>
      <c r="C241">
        <v>45</v>
      </c>
      <c r="D241">
        <v>30</v>
      </c>
      <c r="E241">
        <v>34</v>
      </c>
      <c r="F241">
        <f t="shared" si="9"/>
        <v>109</v>
      </c>
      <c r="G241">
        <f t="shared" si="10"/>
        <v>36.333333333333336</v>
      </c>
      <c r="H241" t="str">
        <f t="shared" si="11"/>
        <v>F</v>
      </c>
    </row>
    <row r="242" spans="1:8" x14ac:dyDescent="0.3">
      <c r="A242">
        <v>341</v>
      </c>
      <c r="B242" t="s">
        <v>12</v>
      </c>
      <c r="C242">
        <v>44</v>
      </c>
      <c r="D242">
        <v>45</v>
      </c>
      <c r="E242">
        <v>90</v>
      </c>
      <c r="F242">
        <f t="shared" si="9"/>
        <v>179</v>
      </c>
      <c r="G242">
        <f t="shared" si="10"/>
        <v>59.666666666666664</v>
      </c>
      <c r="H242" t="str">
        <f t="shared" si="11"/>
        <v>C</v>
      </c>
    </row>
    <row r="243" spans="1:8" x14ac:dyDescent="0.3">
      <c r="A243">
        <v>342</v>
      </c>
      <c r="B243" t="s">
        <v>15</v>
      </c>
      <c r="C243">
        <v>61</v>
      </c>
      <c r="D243">
        <v>96</v>
      </c>
      <c r="E243">
        <v>38</v>
      </c>
      <c r="F243">
        <f t="shared" si="9"/>
        <v>195</v>
      </c>
      <c r="G243">
        <f t="shared" si="10"/>
        <v>65</v>
      </c>
      <c r="H243" t="str">
        <f t="shared" si="11"/>
        <v>B</v>
      </c>
    </row>
    <row r="244" spans="1:8" x14ac:dyDescent="0.3">
      <c r="A244">
        <v>343</v>
      </c>
      <c r="B244" t="s">
        <v>12</v>
      </c>
      <c r="C244">
        <v>53</v>
      </c>
      <c r="D244">
        <v>30</v>
      </c>
      <c r="E244">
        <v>84</v>
      </c>
      <c r="F244">
        <f t="shared" si="9"/>
        <v>167</v>
      </c>
      <c r="G244">
        <f t="shared" si="10"/>
        <v>55.666666666666664</v>
      </c>
      <c r="H244" t="str">
        <f t="shared" si="11"/>
        <v>C</v>
      </c>
    </row>
    <row r="245" spans="1:8" x14ac:dyDescent="0.3">
      <c r="A245">
        <v>344</v>
      </c>
      <c r="B245" t="s">
        <v>10</v>
      </c>
      <c r="C245">
        <v>95</v>
      </c>
      <c r="D245">
        <v>50</v>
      </c>
      <c r="E245">
        <v>70</v>
      </c>
      <c r="F245">
        <f t="shared" si="9"/>
        <v>215</v>
      </c>
      <c r="G245">
        <f t="shared" si="10"/>
        <v>71.666666666666671</v>
      </c>
      <c r="H245" t="str">
        <f t="shared" si="11"/>
        <v>B</v>
      </c>
    </row>
    <row r="246" spans="1:8" x14ac:dyDescent="0.3">
      <c r="A246">
        <v>345</v>
      </c>
      <c r="B246" t="s">
        <v>12</v>
      </c>
      <c r="C246">
        <v>53</v>
      </c>
      <c r="D246">
        <v>67</v>
      </c>
      <c r="E246">
        <v>97</v>
      </c>
      <c r="F246">
        <f t="shared" si="9"/>
        <v>217</v>
      </c>
      <c r="G246">
        <f t="shared" si="10"/>
        <v>72.333333333333329</v>
      </c>
      <c r="H246" t="str">
        <f t="shared" si="11"/>
        <v>B</v>
      </c>
    </row>
    <row r="247" spans="1:8" x14ac:dyDescent="0.3">
      <c r="A247">
        <v>346</v>
      </c>
      <c r="B247" t="s">
        <v>8</v>
      </c>
      <c r="C247">
        <v>42</v>
      </c>
      <c r="D247">
        <v>57</v>
      </c>
      <c r="E247">
        <v>93</v>
      </c>
      <c r="F247">
        <f t="shared" si="9"/>
        <v>192</v>
      </c>
      <c r="G247">
        <f t="shared" si="10"/>
        <v>64</v>
      </c>
      <c r="H247" t="str">
        <f t="shared" si="11"/>
        <v>B</v>
      </c>
    </row>
    <row r="248" spans="1:8" x14ac:dyDescent="0.3">
      <c r="A248">
        <v>347</v>
      </c>
      <c r="B248" t="s">
        <v>11</v>
      </c>
      <c r="C248">
        <v>86</v>
      </c>
      <c r="D248">
        <v>32</v>
      </c>
      <c r="E248">
        <v>49</v>
      </c>
      <c r="F248">
        <f t="shared" si="9"/>
        <v>167</v>
      </c>
      <c r="G248">
        <f t="shared" si="10"/>
        <v>55.666666666666664</v>
      </c>
      <c r="H248" t="str">
        <f t="shared" si="11"/>
        <v>C</v>
      </c>
    </row>
    <row r="249" spans="1:8" x14ac:dyDescent="0.3">
      <c r="A249">
        <v>348</v>
      </c>
      <c r="B249" t="s">
        <v>8</v>
      </c>
      <c r="C249">
        <v>66</v>
      </c>
      <c r="D249">
        <v>31</v>
      </c>
      <c r="E249">
        <v>62</v>
      </c>
      <c r="F249">
        <f t="shared" si="9"/>
        <v>159</v>
      </c>
      <c r="G249">
        <f t="shared" si="10"/>
        <v>53</v>
      </c>
      <c r="H249" t="str">
        <f t="shared" si="11"/>
        <v>C</v>
      </c>
    </row>
    <row r="250" spans="1:8" x14ac:dyDescent="0.3">
      <c r="A250">
        <v>349</v>
      </c>
      <c r="B250" t="s">
        <v>11</v>
      </c>
      <c r="C250">
        <v>98</v>
      </c>
      <c r="D250">
        <v>36</v>
      </c>
      <c r="E250">
        <v>74</v>
      </c>
      <c r="F250">
        <f t="shared" si="9"/>
        <v>208</v>
      </c>
      <c r="G250">
        <f t="shared" si="10"/>
        <v>69.333333333333329</v>
      </c>
      <c r="H250" t="str">
        <f t="shared" si="11"/>
        <v>B</v>
      </c>
    </row>
    <row r="251" spans="1:8" x14ac:dyDescent="0.3">
      <c r="A251">
        <v>350</v>
      </c>
      <c r="B251" t="s">
        <v>15</v>
      </c>
      <c r="C251">
        <v>63</v>
      </c>
      <c r="D251">
        <v>70</v>
      </c>
      <c r="E251">
        <v>55</v>
      </c>
      <c r="F251">
        <f t="shared" si="9"/>
        <v>188</v>
      </c>
      <c r="G251">
        <f t="shared" si="10"/>
        <v>62.666666666666664</v>
      </c>
      <c r="H251" t="str">
        <f t="shared" si="11"/>
        <v>B</v>
      </c>
    </row>
    <row r="252" spans="1:8" x14ac:dyDescent="0.3">
      <c r="A252">
        <v>351</v>
      </c>
      <c r="B252" t="s">
        <v>14</v>
      </c>
      <c r="C252">
        <v>30</v>
      </c>
      <c r="D252">
        <v>68</v>
      </c>
      <c r="E252">
        <v>51</v>
      </c>
      <c r="F252">
        <f t="shared" si="9"/>
        <v>149</v>
      </c>
      <c r="G252">
        <f t="shared" si="10"/>
        <v>49.666666666666664</v>
      </c>
      <c r="H252" t="str">
        <f t="shared" si="11"/>
        <v>C</v>
      </c>
    </row>
    <row r="253" spans="1:8" x14ac:dyDescent="0.3">
      <c r="A253">
        <v>352</v>
      </c>
      <c r="B253" t="s">
        <v>12</v>
      </c>
      <c r="C253">
        <v>55</v>
      </c>
      <c r="D253">
        <v>64</v>
      </c>
      <c r="E253">
        <v>47</v>
      </c>
      <c r="F253">
        <f t="shared" si="9"/>
        <v>166</v>
      </c>
      <c r="G253">
        <f t="shared" si="10"/>
        <v>55.333333333333336</v>
      </c>
      <c r="H253" t="str">
        <f t="shared" si="11"/>
        <v>C</v>
      </c>
    </row>
    <row r="254" spans="1:8" x14ac:dyDescent="0.3">
      <c r="A254">
        <v>353</v>
      </c>
      <c r="B254" t="s">
        <v>14</v>
      </c>
      <c r="C254">
        <v>58</v>
      </c>
      <c r="D254">
        <v>100</v>
      </c>
      <c r="E254">
        <v>33</v>
      </c>
      <c r="F254">
        <f t="shared" si="9"/>
        <v>191</v>
      </c>
      <c r="G254">
        <f t="shared" si="10"/>
        <v>63.666666666666664</v>
      </c>
      <c r="H254" t="str">
        <f t="shared" si="11"/>
        <v>B</v>
      </c>
    </row>
    <row r="255" spans="1:8" x14ac:dyDescent="0.3">
      <c r="A255">
        <v>354</v>
      </c>
      <c r="B255" t="s">
        <v>11</v>
      </c>
      <c r="C255">
        <v>42</v>
      </c>
      <c r="D255">
        <v>90</v>
      </c>
      <c r="E255">
        <v>43</v>
      </c>
      <c r="F255">
        <f t="shared" si="9"/>
        <v>175</v>
      </c>
      <c r="G255">
        <f t="shared" si="10"/>
        <v>58.333333333333336</v>
      </c>
      <c r="H255" t="str">
        <f t="shared" si="11"/>
        <v>C</v>
      </c>
    </row>
    <row r="256" spans="1:8" x14ac:dyDescent="0.3">
      <c r="A256">
        <v>355</v>
      </c>
      <c r="B256" t="s">
        <v>14</v>
      </c>
      <c r="C256">
        <v>63</v>
      </c>
      <c r="D256">
        <v>92</v>
      </c>
      <c r="E256">
        <v>93</v>
      </c>
      <c r="F256">
        <f t="shared" si="9"/>
        <v>248</v>
      </c>
      <c r="G256">
        <f t="shared" si="10"/>
        <v>82.666666666666671</v>
      </c>
      <c r="H256" t="str">
        <f t="shared" si="11"/>
        <v>A</v>
      </c>
    </row>
    <row r="257" spans="1:8" x14ac:dyDescent="0.3">
      <c r="A257">
        <v>356</v>
      </c>
      <c r="B257" t="s">
        <v>14</v>
      </c>
      <c r="C257">
        <v>80</v>
      </c>
      <c r="D257">
        <v>44</v>
      </c>
      <c r="E257">
        <v>36</v>
      </c>
      <c r="F257">
        <f t="shared" si="9"/>
        <v>160</v>
      </c>
      <c r="G257">
        <f t="shared" si="10"/>
        <v>53.333333333333336</v>
      </c>
      <c r="H257" t="str">
        <f t="shared" si="11"/>
        <v>C</v>
      </c>
    </row>
    <row r="258" spans="1:8" x14ac:dyDescent="0.3">
      <c r="A258">
        <v>357</v>
      </c>
      <c r="B258" t="s">
        <v>11</v>
      </c>
      <c r="C258">
        <v>50</v>
      </c>
      <c r="D258">
        <v>67</v>
      </c>
      <c r="E258">
        <v>38</v>
      </c>
      <c r="F258">
        <f t="shared" ref="F258:F321" si="12">SUM(C258:E258)</f>
        <v>155</v>
      </c>
      <c r="G258">
        <f t="shared" ref="G258:G321" si="13">F258/3</f>
        <v>51.666666666666664</v>
      </c>
      <c r="H258" t="str">
        <f t="shared" ref="H258:H321" si="14">IF(G258&gt;=80,"A",IF(G258&gt;=60,"B",IF(G258&gt;=40,"C","F")))</f>
        <v>C</v>
      </c>
    </row>
    <row r="259" spans="1:8" x14ac:dyDescent="0.3">
      <c r="A259">
        <v>358</v>
      </c>
      <c r="B259" t="s">
        <v>10</v>
      </c>
      <c r="C259">
        <v>86</v>
      </c>
      <c r="D259">
        <v>100</v>
      </c>
      <c r="E259">
        <v>66</v>
      </c>
      <c r="F259">
        <f t="shared" si="12"/>
        <v>252</v>
      </c>
      <c r="G259">
        <f t="shared" si="13"/>
        <v>84</v>
      </c>
      <c r="H259" t="str">
        <f t="shared" si="14"/>
        <v>A</v>
      </c>
    </row>
    <row r="260" spans="1:8" x14ac:dyDescent="0.3">
      <c r="A260">
        <v>359</v>
      </c>
      <c r="B260" t="s">
        <v>15</v>
      </c>
      <c r="C260">
        <v>68</v>
      </c>
      <c r="D260">
        <v>47</v>
      </c>
      <c r="E260">
        <v>85</v>
      </c>
      <c r="F260">
        <f t="shared" si="12"/>
        <v>200</v>
      </c>
      <c r="G260">
        <f t="shared" si="13"/>
        <v>66.666666666666671</v>
      </c>
      <c r="H260" t="str">
        <f t="shared" si="14"/>
        <v>B</v>
      </c>
    </row>
    <row r="261" spans="1:8" x14ac:dyDescent="0.3">
      <c r="A261">
        <v>360</v>
      </c>
      <c r="B261" t="s">
        <v>11</v>
      </c>
      <c r="C261">
        <v>72</v>
      </c>
      <c r="D261">
        <v>78</v>
      </c>
      <c r="E261">
        <v>86</v>
      </c>
      <c r="F261">
        <f t="shared" si="12"/>
        <v>236</v>
      </c>
      <c r="G261">
        <f t="shared" si="13"/>
        <v>78.666666666666671</v>
      </c>
      <c r="H261" t="str">
        <f t="shared" si="14"/>
        <v>B</v>
      </c>
    </row>
    <row r="262" spans="1:8" x14ac:dyDescent="0.3">
      <c r="A262">
        <v>361</v>
      </c>
      <c r="B262" t="s">
        <v>15</v>
      </c>
      <c r="C262">
        <v>59</v>
      </c>
      <c r="D262">
        <v>47</v>
      </c>
      <c r="E262">
        <v>59</v>
      </c>
      <c r="F262">
        <f t="shared" si="12"/>
        <v>165</v>
      </c>
      <c r="G262">
        <f t="shared" si="13"/>
        <v>55</v>
      </c>
      <c r="H262" t="str">
        <f t="shared" si="14"/>
        <v>C</v>
      </c>
    </row>
    <row r="263" spans="1:8" x14ac:dyDescent="0.3">
      <c r="A263">
        <v>362</v>
      </c>
      <c r="B263" t="s">
        <v>8</v>
      </c>
      <c r="C263">
        <v>59</v>
      </c>
      <c r="D263">
        <v>91</v>
      </c>
      <c r="E263">
        <v>69</v>
      </c>
      <c r="F263">
        <f t="shared" si="12"/>
        <v>219</v>
      </c>
      <c r="G263">
        <f t="shared" si="13"/>
        <v>73</v>
      </c>
      <c r="H263" t="str">
        <f t="shared" si="14"/>
        <v>B</v>
      </c>
    </row>
    <row r="264" spans="1:8" x14ac:dyDescent="0.3">
      <c r="A264">
        <v>363</v>
      </c>
      <c r="B264" t="s">
        <v>11</v>
      </c>
      <c r="C264">
        <v>83</v>
      </c>
      <c r="D264">
        <v>84</v>
      </c>
      <c r="E264">
        <v>97</v>
      </c>
      <c r="F264">
        <f t="shared" si="12"/>
        <v>264</v>
      </c>
      <c r="G264">
        <f t="shared" si="13"/>
        <v>88</v>
      </c>
      <c r="H264" t="str">
        <f t="shared" si="14"/>
        <v>A</v>
      </c>
    </row>
    <row r="265" spans="1:8" x14ac:dyDescent="0.3">
      <c r="A265">
        <v>364</v>
      </c>
      <c r="B265" t="s">
        <v>11</v>
      </c>
      <c r="C265">
        <v>41</v>
      </c>
      <c r="D265">
        <v>50</v>
      </c>
      <c r="E265">
        <v>52</v>
      </c>
      <c r="F265">
        <f t="shared" si="12"/>
        <v>143</v>
      </c>
      <c r="G265">
        <f t="shared" si="13"/>
        <v>47.666666666666664</v>
      </c>
      <c r="H265" t="str">
        <f t="shared" si="14"/>
        <v>C</v>
      </c>
    </row>
    <row r="266" spans="1:8" x14ac:dyDescent="0.3">
      <c r="A266">
        <v>365</v>
      </c>
      <c r="B266" t="s">
        <v>10</v>
      </c>
      <c r="C266">
        <v>72</v>
      </c>
      <c r="D266">
        <v>38</v>
      </c>
      <c r="E266">
        <v>48</v>
      </c>
      <c r="F266">
        <f t="shared" si="12"/>
        <v>158</v>
      </c>
      <c r="G266">
        <f t="shared" si="13"/>
        <v>52.666666666666664</v>
      </c>
      <c r="H266" t="str">
        <f t="shared" si="14"/>
        <v>C</v>
      </c>
    </row>
    <row r="267" spans="1:8" x14ac:dyDescent="0.3">
      <c r="A267">
        <v>366</v>
      </c>
      <c r="B267" t="s">
        <v>8</v>
      </c>
      <c r="C267">
        <v>82</v>
      </c>
      <c r="D267">
        <v>92</v>
      </c>
      <c r="E267">
        <v>58</v>
      </c>
      <c r="F267">
        <f t="shared" si="12"/>
        <v>232</v>
      </c>
      <c r="G267">
        <f t="shared" si="13"/>
        <v>77.333333333333329</v>
      </c>
      <c r="H267" t="str">
        <f t="shared" si="14"/>
        <v>B</v>
      </c>
    </row>
    <row r="268" spans="1:8" x14ac:dyDescent="0.3">
      <c r="A268">
        <v>367</v>
      </c>
      <c r="B268" t="s">
        <v>11</v>
      </c>
      <c r="C268">
        <v>100</v>
      </c>
      <c r="D268">
        <v>37</v>
      </c>
      <c r="E268">
        <v>40</v>
      </c>
      <c r="F268">
        <f t="shared" si="12"/>
        <v>177</v>
      </c>
      <c r="G268">
        <f t="shared" si="13"/>
        <v>59</v>
      </c>
      <c r="H268" t="str">
        <f t="shared" si="14"/>
        <v>C</v>
      </c>
    </row>
    <row r="269" spans="1:8" x14ac:dyDescent="0.3">
      <c r="A269">
        <v>368</v>
      </c>
      <c r="B269" t="s">
        <v>11</v>
      </c>
      <c r="C269">
        <v>69</v>
      </c>
      <c r="D269">
        <v>32</v>
      </c>
      <c r="E269">
        <v>86</v>
      </c>
      <c r="F269">
        <f t="shared" si="12"/>
        <v>187</v>
      </c>
      <c r="G269">
        <f t="shared" si="13"/>
        <v>62.333333333333336</v>
      </c>
      <c r="H269" t="str">
        <f t="shared" si="14"/>
        <v>B</v>
      </c>
    </row>
    <row r="270" spans="1:8" x14ac:dyDescent="0.3">
      <c r="A270">
        <v>369</v>
      </c>
      <c r="B270" t="s">
        <v>15</v>
      </c>
      <c r="C270">
        <v>91</v>
      </c>
      <c r="D270">
        <v>43</v>
      </c>
      <c r="E270">
        <v>73</v>
      </c>
      <c r="F270">
        <f t="shared" si="12"/>
        <v>207</v>
      </c>
      <c r="G270">
        <f t="shared" si="13"/>
        <v>69</v>
      </c>
      <c r="H270" t="str">
        <f t="shared" si="14"/>
        <v>B</v>
      </c>
    </row>
    <row r="271" spans="1:8" x14ac:dyDescent="0.3">
      <c r="A271">
        <v>370</v>
      </c>
      <c r="B271" t="s">
        <v>10</v>
      </c>
      <c r="C271">
        <v>91</v>
      </c>
      <c r="D271">
        <v>55</v>
      </c>
      <c r="E271">
        <v>65</v>
      </c>
      <c r="F271">
        <f t="shared" si="12"/>
        <v>211</v>
      </c>
      <c r="G271">
        <f t="shared" si="13"/>
        <v>70.333333333333329</v>
      </c>
      <c r="H271" t="str">
        <f t="shared" si="14"/>
        <v>B</v>
      </c>
    </row>
    <row r="272" spans="1:8" x14ac:dyDescent="0.3">
      <c r="A272">
        <v>371</v>
      </c>
      <c r="B272" t="s">
        <v>13</v>
      </c>
      <c r="C272">
        <v>35</v>
      </c>
      <c r="D272">
        <v>57</v>
      </c>
      <c r="E272">
        <v>82</v>
      </c>
      <c r="F272">
        <f t="shared" si="12"/>
        <v>174</v>
      </c>
      <c r="G272">
        <f t="shared" si="13"/>
        <v>58</v>
      </c>
      <c r="H272" t="str">
        <f t="shared" si="14"/>
        <v>C</v>
      </c>
    </row>
    <row r="273" spans="1:8" x14ac:dyDescent="0.3">
      <c r="A273">
        <v>372</v>
      </c>
      <c r="B273" t="s">
        <v>9</v>
      </c>
      <c r="C273">
        <v>37</v>
      </c>
      <c r="D273">
        <v>77</v>
      </c>
      <c r="E273">
        <v>82</v>
      </c>
      <c r="F273">
        <f t="shared" si="12"/>
        <v>196</v>
      </c>
      <c r="G273">
        <f t="shared" si="13"/>
        <v>65.333333333333329</v>
      </c>
      <c r="H273" t="str">
        <f t="shared" si="14"/>
        <v>B</v>
      </c>
    </row>
    <row r="274" spans="1:8" x14ac:dyDescent="0.3">
      <c r="A274">
        <v>373</v>
      </c>
      <c r="B274" t="s">
        <v>15</v>
      </c>
      <c r="C274">
        <v>76</v>
      </c>
      <c r="D274">
        <v>86</v>
      </c>
      <c r="E274">
        <v>68</v>
      </c>
      <c r="F274">
        <f t="shared" si="12"/>
        <v>230</v>
      </c>
      <c r="G274">
        <f t="shared" si="13"/>
        <v>76.666666666666671</v>
      </c>
      <c r="H274" t="str">
        <f t="shared" si="14"/>
        <v>B</v>
      </c>
    </row>
    <row r="275" spans="1:8" x14ac:dyDescent="0.3">
      <c r="A275">
        <v>374</v>
      </c>
      <c r="B275" t="s">
        <v>10</v>
      </c>
      <c r="C275">
        <v>84</v>
      </c>
      <c r="D275">
        <v>80</v>
      </c>
      <c r="E275">
        <v>100</v>
      </c>
      <c r="F275">
        <f t="shared" si="12"/>
        <v>264</v>
      </c>
      <c r="G275">
        <f t="shared" si="13"/>
        <v>88</v>
      </c>
      <c r="H275" t="str">
        <f t="shared" si="14"/>
        <v>A</v>
      </c>
    </row>
    <row r="276" spans="1:8" x14ac:dyDescent="0.3">
      <c r="A276">
        <v>375</v>
      </c>
      <c r="B276" t="s">
        <v>11</v>
      </c>
      <c r="C276">
        <v>60</v>
      </c>
      <c r="D276">
        <v>45</v>
      </c>
      <c r="E276">
        <v>61</v>
      </c>
      <c r="F276">
        <f t="shared" si="12"/>
        <v>166</v>
      </c>
      <c r="G276">
        <f t="shared" si="13"/>
        <v>55.333333333333336</v>
      </c>
      <c r="H276" t="str">
        <f t="shared" si="14"/>
        <v>C</v>
      </c>
    </row>
    <row r="277" spans="1:8" x14ac:dyDescent="0.3">
      <c r="A277">
        <v>376</v>
      </c>
      <c r="B277" t="s">
        <v>9</v>
      </c>
      <c r="C277">
        <v>79</v>
      </c>
      <c r="D277">
        <v>30</v>
      </c>
      <c r="E277">
        <v>95</v>
      </c>
      <c r="F277">
        <f t="shared" si="12"/>
        <v>204</v>
      </c>
      <c r="G277">
        <f t="shared" si="13"/>
        <v>68</v>
      </c>
      <c r="H277" t="str">
        <f t="shared" si="14"/>
        <v>B</v>
      </c>
    </row>
    <row r="278" spans="1:8" x14ac:dyDescent="0.3">
      <c r="A278">
        <v>377</v>
      </c>
      <c r="B278" t="s">
        <v>10</v>
      </c>
      <c r="C278">
        <v>82</v>
      </c>
      <c r="D278">
        <v>44</v>
      </c>
      <c r="E278">
        <v>61</v>
      </c>
      <c r="F278">
        <f t="shared" si="12"/>
        <v>187</v>
      </c>
      <c r="G278">
        <f t="shared" si="13"/>
        <v>62.333333333333336</v>
      </c>
      <c r="H278" t="str">
        <f t="shared" si="14"/>
        <v>B</v>
      </c>
    </row>
    <row r="279" spans="1:8" x14ac:dyDescent="0.3">
      <c r="A279">
        <v>378</v>
      </c>
      <c r="B279" t="s">
        <v>12</v>
      </c>
      <c r="C279">
        <v>94</v>
      </c>
      <c r="D279">
        <v>79</v>
      </c>
      <c r="E279">
        <v>94</v>
      </c>
      <c r="F279">
        <f t="shared" si="12"/>
        <v>267</v>
      </c>
      <c r="G279">
        <f t="shared" si="13"/>
        <v>89</v>
      </c>
      <c r="H279" t="str">
        <f t="shared" si="14"/>
        <v>A</v>
      </c>
    </row>
    <row r="280" spans="1:8" x14ac:dyDescent="0.3">
      <c r="A280">
        <v>379</v>
      </c>
      <c r="B280" t="s">
        <v>8</v>
      </c>
      <c r="C280">
        <v>73</v>
      </c>
      <c r="D280">
        <v>47</v>
      </c>
      <c r="E280">
        <v>42</v>
      </c>
      <c r="F280">
        <f t="shared" si="12"/>
        <v>162</v>
      </c>
      <c r="G280">
        <f t="shared" si="13"/>
        <v>54</v>
      </c>
      <c r="H280" t="str">
        <f t="shared" si="14"/>
        <v>C</v>
      </c>
    </row>
    <row r="281" spans="1:8" x14ac:dyDescent="0.3">
      <c r="A281">
        <v>380</v>
      </c>
      <c r="B281" t="s">
        <v>13</v>
      </c>
      <c r="C281">
        <v>81</v>
      </c>
      <c r="D281">
        <v>99</v>
      </c>
      <c r="E281">
        <v>93</v>
      </c>
      <c r="F281">
        <f t="shared" si="12"/>
        <v>273</v>
      </c>
      <c r="G281">
        <f t="shared" si="13"/>
        <v>91</v>
      </c>
      <c r="H281" t="str">
        <f t="shared" si="14"/>
        <v>A</v>
      </c>
    </row>
    <row r="282" spans="1:8" x14ac:dyDescent="0.3">
      <c r="A282">
        <v>381</v>
      </c>
      <c r="B282" t="s">
        <v>11</v>
      </c>
      <c r="C282">
        <v>59</v>
      </c>
      <c r="D282">
        <v>61</v>
      </c>
      <c r="E282">
        <v>63</v>
      </c>
      <c r="F282">
        <f t="shared" si="12"/>
        <v>183</v>
      </c>
      <c r="G282">
        <f t="shared" si="13"/>
        <v>61</v>
      </c>
      <c r="H282" t="str">
        <f t="shared" si="14"/>
        <v>B</v>
      </c>
    </row>
    <row r="283" spans="1:8" x14ac:dyDescent="0.3">
      <c r="A283">
        <v>382</v>
      </c>
      <c r="B283" t="s">
        <v>11</v>
      </c>
      <c r="C283">
        <v>57</v>
      </c>
      <c r="D283">
        <v>73</v>
      </c>
      <c r="E283">
        <v>58</v>
      </c>
      <c r="F283">
        <f t="shared" si="12"/>
        <v>188</v>
      </c>
      <c r="G283">
        <f t="shared" si="13"/>
        <v>62.666666666666664</v>
      </c>
      <c r="H283" t="str">
        <f t="shared" si="14"/>
        <v>B</v>
      </c>
    </row>
    <row r="284" spans="1:8" x14ac:dyDescent="0.3">
      <c r="A284">
        <v>383</v>
      </c>
      <c r="B284" t="s">
        <v>14</v>
      </c>
      <c r="C284">
        <v>51</v>
      </c>
      <c r="D284">
        <v>47</v>
      </c>
      <c r="E284">
        <v>92</v>
      </c>
      <c r="F284">
        <f t="shared" si="12"/>
        <v>190</v>
      </c>
      <c r="G284">
        <f t="shared" si="13"/>
        <v>63.333333333333336</v>
      </c>
      <c r="H284" t="str">
        <f t="shared" si="14"/>
        <v>B</v>
      </c>
    </row>
    <row r="285" spans="1:8" x14ac:dyDescent="0.3">
      <c r="A285">
        <v>384</v>
      </c>
      <c r="B285" t="s">
        <v>13</v>
      </c>
      <c r="C285">
        <v>35</v>
      </c>
      <c r="D285">
        <v>30</v>
      </c>
      <c r="E285">
        <v>39</v>
      </c>
      <c r="F285">
        <f t="shared" si="12"/>
        <v>104</v>
      </c>
      <c r="G285">
        <f t="shared" si="13"/>
        <v>34.666666666666664</v>
      </c>
      <c r="H285" t="str">
        <f t="shared" si="14"/>
        <v>F</v>
      </c>
    </row>
    <row r="286" spans="1:8" x14ac:dyDescent="0.3">
      <c r="A286">
        <v>385</v>
      </c>
      <c r="B286" t="s">
        <v>13</v>
      </c>
      <c r="C286">
        <v>77</v>
      </c>
      <c r="D286">
        <v>71</v>
      </c>
      <c r="E286">
        <v>77</v>
      </c>
      <c r="F286">
        <f t="shared" si="12"/>
        <v>225</v>
      </c>
      <c r="G286">
        <f t="shared" si="13"/>
        <v>75</v>
      </c>
      <c r="H286" t="str">
        <f t="shared" si="14"/>
        <v>B</v>
      </c>
    </row>
    <row r="287" spans="1:8" x14ac:dyDescent="0.3">
      <c r="A287">
        <v>386</v>
      </c>
      <c r="B287" t="s">
        <v>10</v>
      </c>
      <c r="C287">
        <v>58</v>
      </c>
      <c r="D287">
        <v>100</v>
      </c>
      <c r="E287">
        <v>38</v>
      </c>
      <c r="F287">
        <f t="shared" si="12"/>
        <v>196</v>
      </c>
      <c r="G287">
        <f t="shared" si="13"/>
        <v>65.333333333333329</v>
      </c>
      <c r="H287" t="str">
        <f t="shared" si="14"/>
        <v>B</v>
      </c>
    </row>
    <row r="288" spans="1:8" x14ac:dyDescent="0.3">
      <c r="A288">
        <v>387</v>
      </c>
      <c r="B288" t="s">
        <v>9</v>
      </c>
      <c r="C288">
        <v>44</v>
      </c>
      <c r="D288">
        <v>87</v>
      </c>
      <c r="E288">
        <v>43</v>
      </c>
      <c r="F288">
        <f t="shared" si="12"/>
        <v>174</v>
      </c>
      <c r="G288">
        <f t="shared" si="13"/>
        <v>58</v>
      </c>
      <c r="H288" t="str">
        <f t="shared" si="14"/>
        <v>C</v>
      </c>
    </row>
    <row r="289" spans="1:8" x14ac:dyDescent="0.3">
      <c r="A289">
        <v>388</v>
      </c>
      <c r="B289" t="s">
        <v>15</v>
      </c>
      <c r="C289">
        <v>68</v>
      </c>
      <c r="D289">
        <v>83</v>
      </c>
      <c r="E289">
        <v>60</v>
      </c>
      <c r="F289">
        <f t="shared" si="12"/>
        <v>211</v>
      </c>
      <c r="G289">
        <f t="shared" si="13"/>
        <v>70.333333333333329</v>
      </c>
      <c r="H289" t="str">
        <f t="shared" si="14"/>
        <v>B</v>
      </c>
    </row>
    <row r="290" spans="1:8" x14ac:dyDescent="0.3">
      <c r="A290">
        <v>389</v>
      </c>
      <c r="B290" t="s">
        <v>13</v>
      </c>
      <c r="C290">
        <v>30</v>
      </c>
      <c r="D290">
        <v>92</v>
      </c>
      <c r="E290">
        <v>42</v>
      </c>
      <c r="F290">
        <f t="shared" si="12"/>
        <v>164</v>
      </c>
      <c r="G290">
        <f t="shared" si="13"/>
        <v>54.666666666666664</v>
      </c>
      <c r="H290" t="str">
        <f t="shared" si="14"/>
        <v>C</v>
      </c>
    </row>
    <row r="291" spans="1:8" x14ac:dyDescent="0.3">
      <c r="A291">
        <v>390</v>
      </c>
      <c r="B291" t="s">
        <v>8</v>
      </c>
      <c r="C291">
        <v>39</v>
      </c>
      <c r="D291">
        <v>43</v>
      </c>
      <c r="E291">
        <v>50</v>
      </c>
      <c r="F291">
        <f t="shared" si="12"/>
        <v>132</v>
      </c>
      <c r="G291">
        <f t="shared" si="13"/>
        <v>44</v>
      </c>
      <c r="H291" t="str">
        <f t="shared" si="14"/>
        <v>C</v>
      </c>
    </row>
    <row r="292" spans="1:8" x14ac:dyDescent="0.3">
      <c r="A292">
        <v>391</v>
      </c>
      <c r="B292" t="s">
        <v>10</v>
      </c>
      <c r="C292">
        <v>39</v>
      </c>
      <c r="D292">
        <v>64</v>
      </c>
      <c r="E292">
        <v>50</v>
      </c>
      <c r="F292">
        <f t="shared" si="12"/>
        <v>153</v>
      </c>
      <c r="G292">
        <f t="shared" si="13"/>
        <v>51</v>
      </c>
      <c r="H292" t="str">
        <f t="shared" si="14"/>
        <v>C</v>
      </c>
    </row>
    <row r="293" spans="1:8" x14ac:dyDescent="0.3">
      <c r="A293">
        <v>392</v>
      </c>
      <c r="B293" t="s">
        <v>15</v>
      </c>
      <c r="C293">
        <v>67</v>
      </c>
      <c r="D293">
        <v>98</v>
      </c>
      <c r="E293">
        <v>70</v>
      </c>
      <c r="F293">
        <f t="shared" si="12"/>
        <v>235</v>
      </c>
      <c r="G293">
        <f t="shared" si="13"/>
        <v>78.333333333333329</v>
      </c>
      <c r="H293" t="str">
        <f t="shared" si="14"/>
        <v>B</v>
      </c>
    </row>
    <row r="294" spans="1:8" x14ac:dyDescent="0.3">
      <c r="A294">
        <v>393</v>
      </c>
      <c r="B294" t="s">
        <v>14</v>
      </c>
      <c r="C294">
        <v>69</v>
      </c>
      <c r="D294">
        <v>53</v>
      </c>
      <c r="E294">
        <v>100</v>
      </c>
      <c r="F294">
        <f t="shared" si="12"/>
        <v>222</v>
      </c>
      <c r="G294">
        <f t="shared" si="13"/>
        <v>74</v>
      </c>
      <c r="H294" t="str">
        <f t="shared" si="14"/>
        <v>B</v>
      </c>
    </row>
    <row r="295" spans="1:8" x14ac:dyDescent="0.3">
      <c r="A295">
        <v>394</v>
      </c>
      <c r="B295" t="s">
        <v>14</v>
      </c>
      <c r="C295">
        <v>94</v>
      </c>
      <c r="D295">
        <v>70</v>
      </c>
      <c r="E295">
        <v>34</v>
      </c>
      <c r="F295">
        <f t="shared" si="12"/>
        <v>198</v>
      </c>
      <c r="G295">
        <f t="shared" si="13"/>
        <v>66</v>
      </c>
      <c r="H295" t="str">
        <f t="shared" si="14"/>
        <v>B</v>
      </c>
    </row>
    <row r="296" spans="1:8" x14ac:dyDescent="0.3">
      <c r="A296">
        <v>395</v>
      </c>
      <c r="B296" t="s">
        <v>10</v>
      </c>
      <c r="C296">
        <v>79</v>
      </c>
      <c r="D296">
        <v>42</v>
      </c>
      <c r="E296">
        <v>33</v>
      </c>
      <c r="F296">
        <f t="shared" si="12"/>
        <v>154</v>
      </c>
      <c r="G296">
        <f t="shared" si="13"/>
        <v>51.333333333333336</v>
      </c>
      <c r="H296" t="str">
        <f t="shared" si="14"/>
        <v>C</v>
      </c>
    </row>
    <row r="297" spans="1:8" x14ac:dyDescent="0.3">
      <c r="A297">
        <v>396</v>
      </c>
      <c r="B297" t="s">
        <v>12</v>
      </c>
      <c r="C297">
        <v>54</v>
      </c>
      <c r="D297">
        <v>51</v>
      </c>
      <c r="E297">
        <v>90</v>
      </c>
      <c r="F297">
        <f t="shared" si="12"/>
        <v>195</v>
      </c>
      <c r="G297">
        <f t="shared" si="13"/>
        <v>65</v>
      </c>
      <c r="H297" t="str">
        <f t="shared" si="14"/>
        <v>B</v>
      </c>
    </row>
    <row r="298" spans="1:8" x14ac:dyDescent="0.3">
      <c r="A298">
        <v>397</v>
      </c>
      <c r="B298" t="s">
        <v>12</v>
      </c>
      <c r="C298">
        <v>41</v>
      </c>
      <c r="D298">
        <v>34</v>
      </c>
      <c r="E298">
        <v>54</v>
      </c>
      <c r="F298">
        <f t="shared" si="12"/>
        <v>129</v>
      </c>
      <c r="G298">
        <f t="shared" si="13"/>
        <v>43</v>
      </c>
      <c r="H298" t="str">
        <f t="shared" si="14"/>
        <v>C</v>
      </c>
    </row>
    <row r="299" spans="1:8" x14ac:dyDescent="0.3">
      <c r="A299">
        <v>398</v>
      </c>
      <c r="B299" t="s">
        <v>9</v>
      </c>
      <c r="C299">
        <v>69</v>
      </c>
      <c r="D299">
        <v>66</v>
      </c>
      <c r="E299">
        <v>40</v>
      </c>
      <c r="F299">
        <f t="shared" si="12"/>
        <v>175</v>
      </c>
      <c r="G299">
        <f t="shared" si="13"/>
        <v>58.333333333333336</v>
      </c>
      <c r="H299" t="str">
        <f t="shared" si="14"/>
        <v>C</v>
      </c>
    </row>
    <row r="300" spans="1:8" x14ac:dyDescent="0.3">
      <c r="A300">
        <v>399</v>
      </c>
      <c r="B300" t="s">
        <v>10</v>
      </c>
      <c r="C300">
        <v>84</v>
      </c>
      <c r="D300">
        <v>93</v>
      </c>
      <c r="E300">
        <v>50</v>
      </c>
      <c r="F300">
        <f t="shared" si="12"/>
        <v>227</v>
      </c>
      <c r="G300">
        <f t="shared" si="13"/>
        <v>75.666666666666671</v>
      </c>
      <c r="H300" t="str">
        <f t="shared" si="14"/>
        <v>B</v>
      </c>
    </row>
    <row r="301" spans="1:8" x14ac:dyDescent="0.3">
      <c r="A301">
        <v>400</v>
      </c>
      <c r="B301" t="s">
        <v>8</v>
      </c>
      <c r="C301">
        <v>60</v>
      </c>
      <c r="D301">
        <v>94</v>
      </c>
      <c r="E301">
        <v>68</v>
      </c>
      <c r="F301">
        <f t="shared" si="12"/>
        <v>222</v>
      </c>
      <c r="G301">
        <f t="shared" si="13"/>
        <v>74</v>
      </c>
      <c r="H301" t="str">
        <f t="shared" si="14"/>
        <v>B</v>
      </c>
    </row>
    <row r="302" spans="1:8" x14ac:dyDescent="0.3">
      <c r="A302">
        <v>401</v>
      </c>
      <c r="B302" t="s">
        <v>8</v>
      </c>
      <c r="C302">
        <v>77</v>
      </c>
      <c r="D302">
        <v>43</v>
      </c>
      <c r="E302">
        <v>94</v>
      </c>
      <c r="F302">
        <f t="shared" si="12"/>
        <v>214</v>
      </c>
      <c r="G302">
        <f t="shared" si="13"/>
        <v>71.333333333333329</v>
      </c>
      <c r="H302" t="str">
        <f t="shared" si="14"/>
        <v>B</v>
      </c>
    </row>
    <row r="303" spans="1:8" x14ac:dyDescent="0.3">
      <c r="A303">
        <v>402</v>
      </c>
      <c r="B303" t="s">
        <v>12</v>
      </c>
      <c r="C303">
        <v>43</v>
      </c>
      <c r="D303">
        <v>96</v>
      </c>
      <c r="E303">
        <v>68</v>
      </c>
      <c r="F303">
        <f t="shared" si="12"/>
        <v>207</v>
      </c>
      <c r="G303">
        <f t="shared" si="13"/>
        <v>69</v>
      </c>
      <c r="H303" t="str">
        <f t="shared" si="14"/>
        <v>B</v>
      </c>
    </row>
    <row r="304" spans="1:8" x14ac:dyDescent="0.3">
      <c r="A304">
        <v>403</v>
      </c>
      <c r="B304" t="s">
        <v>9</v>
      </c>
      <c r="C304">
        <v>73</v>
      </c>
      <c r="D304">
        <v>77</v>
      </c>
      <c r="E304">
        <v>100</v>
      </c>
      <c r="F304">
        <f t="shared" si="12"/>
        <v>250</v>
      </c>
      <c r="G304">
        <f t="shared" si="13"/>
        <v>83.333333333333329</v>
      </c>
      <c r="H304" t="str">
        <f t="shared" si="14"/>
        <v>A</v>
      </c>
    </row>
    <row r="305" spans="1:8" x14ac:dyDescent="0.3">
      <c r="A305">
        <v>404</v>
      </c>
      <c r="B305" t="s">
        <v>10</v>
      </c>
      <c r="C305">
        <v>61</v>
      </c>
      <c r="D305">
        <v>81</v>
      </c>
      <c r="E305">
        <v>48</v>
      </c>
      <c r="F305">
        <f t="shared" si="12"/>
        <v>190</v>
      </c>
      <c r="G305">
        <f t="shared" si="13"/>
        <v>63.333333333333336</v>
      </c>
      <c r="H305" t="str">
        <f t="shared" si="14"/>
        <v>B</v>
      </c>
    </row>
    <row r="306" spans="1:8" x14ac:dyDescent="0.3">
      <c r="A306">
        <v>405</v>
      </c>
      <c r="B306" t="s">
        <v>15</v>
      </c>
      <c r="C306">
        <v>89</v>
      </c>
      <c r="D306">
        <v>90</v>
      </c>
      <c r="E306">
        <v>67</v>
      </c>
      <c r="F306">
        <f t="shared" si="12"/>
        <v>246</v>
      </c>
      <c r="G306">
        <f t="shared" si="13"/>
        <v>82</v>
      </c>
      <c r="H306" t="str">
        <f t="shared" si="14"/>
        <v>A</v>
      </c>
    </row>
    <row r="307" spans="1:8" x14ac:dyDescent="0.3">
      <c r="A307">
        <v>406</v>
      </c>
      <c r="B307" t="s">
        <v>11</v>
      </c>
      <c r="C307">
        <v>70</v>
      </c>
      <c r="D307">
        <v>39</v>
      </c>
      <c r="E307">
        <v>33</v>
      </c>
      <c r="F307">
        <f t="shared" si="12"/>
        <v>142</v>
      </c>
      <c r="G307">
        <f t="shared" si="13"/>
        <v>47.333333333333336</v>
      </c>
      <c r="H307" t="str">
        <f t="shared" si="14"/>
        <v>C</v>
      </c>
    </row>
    <row r="308" spans="1:8" x14ac:dyDescent="0.3">
      <c r="A308">
        <v>407</v>
      </c>
      <c r="B308" t="s">
        <v>14</v>
      </c>
      <c r="C308">
        <v>44</v>
      </c>
      <c r="D308">
        <v>58</v>
      </c>
      <c r="E308">
        <v>89</v>
      </c>
      <c r="F308">
        <f t="shared" si="12"/>
        <v>191</v>
      </c>
      <c r="G308">
        <f t="shared" si="13"/>
        <v>63.666666666666664</v>
      </c>
      <c r="H308" t="str">
        <f t="shared" si="14"/>
        <v>B</v>
      </c>
    </row>
    <row r="309" spans="1:8" x14ac:dyDescent="0.3">
      <c r="A309">
        <v>408</v>
      </c>
      <c r="B309" t="s">
        <v>10</v>
      </c>
      <c r="C309">
        <v>47</v>
      </c>
      <c r="D309">
        <v>54</v>
      </c>
      <c r="E309">
        <v>57</v>
      </c>
      <c r="F309">
        <f t="shared" si="12"/>
        <v>158</v>
      </c>
      <c r="G309">
        <f t="shared" si="13"/>
        <v>52.666666666666664</v>
      </c>
      <c r="H309" t="str">
        <f t="shared" si="14"/>
        <v>C</v>
      </c>
    </row>
    <row r="310" spans="1:8" x14ac:dyDescent="0.3">
      <c r="A310">
        <v>409</v>
      </c>
      <c r="B310" t="s">
        <v>10</v>
      </c>
      <c r="C310">
        <v>48</v>
      </c>
      <c r="D310">
        <v>33</v>
      </c>
      <c r="E310">
        <v>79</v>
      </c>
      <c r="F310">
        <f t="shared" si="12"/>
        <v>160</v>
      </c>
      <c r="G310">
        <f t="shared" si="13"/>
        <v>53.333333333333336</v>
      </c>
      <c r="H310" t="str">
        <f t="shared" si="14"/>
        <v>C</v>
      </c>
    </row>
    <row r="311" spans="1:8" x14ac:dyDescent="0.3">
      <c r="A311">
        <v>410</v>
      </c>
      <c r="B311" t="s">
        <v>8</v>
      </c>
      <c r="C311">
        <v>46</v>
      </c>
      <c r="D311">
        <v>46</v>
      </c>
      <c r="E311">
        <v>65</v>
      </c>
      <c r="F311">
        <f t="shared" si="12"/>
        <v>157</v>
      </c>
      <c r="G311">
        <f t="shared" si="13"/>
        <v>52.333333333333336</v>
      </c>
      <c r="H311" t="str">
        <f t="shared" si="14"/>
        <v>C</v>
      </c>
    </row>
    <row r="312" spans="1:8" x14ac:dyDescent="0.3">
      <c r="A312">
        <v>411</v>
      </c>
      <c r="B312" t="s">
        <v>12</v>
      </c>
      <c r="C312">
        <v>61</v>
      </c>
      <c r="D312">
        <v>70</v>
      </c>
      <c r="E312">
        <v>62</v>
      </c>
      <c r="F312">
        <f t="shared" si="12"/>
        <v>193</v>
      </c>
      <c r="G312">
        <f t="shared" si="13"/>
        <v>64.333333333333329</v>
      </c>
      <c r="H312" t="str">
        <f t="shared" si="14"/>
        <v>B</v>
      </c>
    </row>
    <row r="313" spans="1:8" x14ac:dyDescent="0.3">
      <c r="A313">
        <v>412</v>
      </c>
      <c r="B313" t="s">
        <v>15</v>
      </c>
      <c r="C313">
        <v>63</v>
      </c>
      <c r="D313">
        <v>55</v>
      </c>
      <c r="E313">
        <v>73</v>
      </c>
      <c r="F313">
        <f t="shared" si="12"/>
        <v>191</v>
      </c>
      <c r="G313">
        <f t="shared" si="13"/>
        <v>63.666666666666664</v>
      </c>
      <c r="H313" t="str">
        <f t="shared" si="14"/>
        <v>B</v>
      </c>
    </row>
    <row r="314" spans="1:8" x14ac:dyDescent="0.3">
      <c r="A314">
        <v>413</v>
      </c>
      <c r="B314" t="s">
        <v>11</v>
      </c>
      <c r="C314">
        <v>88</v>
      </c>
      <c r="D314">
        <v>36</v>
      </c>
      <c r="E314">
        <v>70</v>
      </c>
      <c r="F314">
        <f t="shared" si="12"/>
        <v>194</v>
      </c>
      <c r="G314">
        <f t="shared" si="13"/>
        <v>64.666666666666671</v>
      </c>
      <c r="H314" t="str">
        <f t="shared" si="14"/>
        <v>B</v>
      </c>
    </row>
    <row r="315" spans="1:8" x14ac:dyDescent="0.3">
      <c r="A315">
        <v>414</v>
      </c>
      <c r="B315" t="s">
        <v>14</v>
      </c>
      <c r="C315">
        <v>44</v>
      </c>
      <c r="D315">
        <v>87</v>
      </c>
      <c r="E315">
        <v>90</v>
      </c>
      <c r="F315">
        <f t="shared" si="12"/>
        <v>221</v>
      </c>
      <c r="G315">
        <f t="shared" si="13"/>
        <v>73.666666666666671</v>
      </c>
      <c r="H315" t="str">
        <f t="shared" si="14"/>
        <v>B</v>
      </c>
    </row>
    <row r="316" spans="1:8" x14ac:dyDescent="0.3">
      <c r="A316">
        <v>415</v>
      </c>
      <c r="B316" t="s">
        <v>15</v>
      </c>
      <c r="C316">
        <v>68</v>
      </c>
      <c r="D316">
        <v>56</v>
      </c>
      <c r="E316">
        <v>72</v>
      </c>
      <c r="F316">
        <f t="shared" si="12"/>
        <v>196</v>
      </c>
      <c r="G316">
        <f t="shared" si="13"/>
        <v>65.333333333333329</v>
      </c>
      <c r="H316" t="str">
        <f t="shared" si="14"/>
        <v>B</v>
      </c>
    </row>
    <row r="317" spans="1:8" x14ac:dyDescent="0.3">
      <c r="A317">
        <v>416</v>
      </c>
      <c r="B317" t="s">
        <v>14</v>
      </c>
      <c r="C317">
        <v>53</v>
      </c>
      <c r="D317">
        <v>41</v>
      </c>
      <c r="E317">
        <v>78</v>
      </c>
      <c r="F317">
        <f t="shared" si="12"/>
        <v>172</v>
      </c>
      <c r="G317">
        <f t="shared" si="13"/>
        <v>57.333333333333336</v>
      </c>
      <c r="H317" t="str">
        <f t="shared" si="14"/>
        <v>C</v>
      </c>
    </row>
    <row r="318" spans="1:8" x14ac:dyDescent="0.3">
      <c r="A318">
        <v>417</v>
      </c>
      <c r="B318" t="s">
        <v>12</v>
      </c>
      <c r="C318">
        <v>78</v>
      </c>
      <c r="D318">
        <v>73</v>
      </c>
      <c r="E318">
        <v>93</v>
      </c>
      <c r="F318">
        <f t="shared" si="12"/>
        <v>244</v>
      </c>
      <c r="G318">
        <f t="shared" si="13"/>
        <v>81.333333333333329</v>
      </c>
      <c r="H318" t="str">
        <f t="shared" si="14"/>
        <v>A</v>
      </c>
    </row>
    <row r="319" spans="1:8" x14ac:dyDescent="0.3">
      <c r="A319">
        <v>418</v>
      </c>
      <c r="B319" t="s">
        <v>12</v>
      </c>
      <c r="C319">
        <v>48</v>
      </c>
      <c r="D319">
        <v>99</v>
      </c>
      <c r="E319">
        <v>94</v>
      </c>
      <c r="F319">
        <f t="shared" si="12"/>
        <v>241</v>
      </c>
      <c r="G319">
        <f t="shared" si="13"/>
        <v>80.333333333333329</v>
      </c>
      <c r="H319" t="str">
        <f t="shared" si="14"/>
        <v>A</v>
      </c>
    </row>
    <row r="320" spans="1:8" x14ac:dyDescent="0.3">
      <c r="A320">
        <v>419</v>
      </c>
      <c r="B320" t="s">
        <v>14</v>
      </c>
      <c r="C320">
        <v>87</v>
      </c>
      <c r="D320">
        <v>73</v>
      </c>
      <c r="E320">
        <v>89</v>
      </c>
      <c r="F320">
        <f t="shared" si="12"/>
        <v>249</v>
      </c>
      <c r="G320">
        <f t="shared" si="13"/>
        <v>83</v>
      </c>
      <c r="H320" t="str">
        <f t="shared" si="14"/>
        <v>A</v>
      </c>
    </row>
    <row r="321" spans="1:8" x14ac:dyDescent="0.3">
      <c r="A321">
        <v>420</v>
      </c>
      <c r="B321" t="s">
        <v>8</v>
      </c>
      <c r="C321">
        <v>70</v>
      </c>
      <c r="D321">
        <v>59</v>
      </c>
      <c r="E321">
        <v>75</v>
      </c>
      <c r="F321">
        <f t="shared" si="12"/>
        <v>204</v>
      </c>
      <c r="G321">
        <f t="shared" si="13"/>
        <v>68</v>
      </c>
      <c r="H321" t="str">
        <f t="shared" si="14"/>
        <v>B</v>
      </c>
    </row>
    <row r="322" spans="1:8" x14ac:dyDescent="0.3">
      <c r="A322">
        <v>421</v>
      </c>
      <c r="B322" t="s">
        <v>10</v>
      </c>
      <c r="C322">
        <v>61</v>
      </c>
      <c r="D322">
        <v>79</v>
      </c>
      <c r="E322">
        <v>94</v>
      </c>
      <c r="F322">
        <f t="shared" ref="F322:F385" si="15">SUM(C322:E322)</f>
        <v>234</v>
      </c>
      <c r="G322">
        <f t="shared" ref="G322:G385" si="16">F322/3</f>
        <v>78</v>
      </c>
      <c r="H322" t="str">
        <f t="shared" ref="H322:H385" si="17">IF(G322&gt;=80,"A",IF(G322&gt;=60,"B",IF(G322&gt;=40,"C","F")))</f>
        <v>B</v>
      </c>
    </row>
    <row r="323" spans="1:8" x14ac:dyDescent="0.3">
      <c r="A323">
        <v>422</v>
      </c>
      <c r="B323" t="s">
        <v>13</v>
      </c>
      <c r="C323">
        <v>53</v>
      </c>
      <c r="D323">
        <v>63</v>
      </c>
      <c r="E323">
        <v>34</v>
      </c>
      <c r="F323">
        <f t="shared" si="15"/>
        <v>150</v>
      </c>
      <c r="G323">
        <f t="shared" si="16"/>
        <v>50</v>
      </c>
      <c r="H323" t="str">
        <f t="shared" si="17"/>
        <v>C</v>
      </c>
    </row>
    <row r="324" spans="1:8" x14ac:dyDescent="0.3">
      <c r="A324">
        <v>423</v>
      </c>
      <c r="B324" t="s">
        <v>15</v>
      </c>
      <c r="C324">
        <v>89</v>
      </c>
      <c r="D324">
        <v>67</v>
      </c>
      <c r="E324">
        <v>70</v>
      </c>
      <c r="F324">
        <f t="shared" si="15"/>
        <v>226</v>
      </c>
      <c r="G324">
        <f t="shared" si="16"/>
        <v>75.333333333333329</v>
      </c>
      <c r="H324" t="str">
        <f t="shared" si="17"/>
        <v>B</v>
      </c>
    </row>
    <row r="325" spans="1:8" x14ac:dyDescent="0.3">
      <c r="A325">
        <v>424</v>
      </c>
      <c r="B325" t="s">
        <v>14</v>
      </c>
      <c r="C325">
        <v>81</v>
      </c>
      <c r="D325">
        <v>73</v>
      </c>
      <c r="E325">
        <v>77</v>
      </c>
      <c r="F325">
        <f t="shared" si="15"/>
        <v>231</v>
      </c>
      <c r="G325">
        <f t="shared" si="16"/>
        <v>77</v>
      </c>
      <c r="H325" t="str">
        <f t="shared" si="17"/>
        <v>B</v>
      </c>
    </row>
    <row r="326" spans="1:8" x14ac:dyDescent="0.3">
      <c r="A326">
        <v>425</v>
      </c>
      <c r="B326" t="s">
        <v>12</v>
      </c>
      <c r="C326">
        <v>61</v>
      </c>
      <c r="D326">
        <v>66</v>
      </c>
      <c r="E326">
        <v>71</v>
      </c>
      <c r="F326">
        <f t="shared" si="15"/>
        <v>198</v>
      </c>
      <c r="G326">
        <f t="shared" si="16"/>
        <v>66</v>
      </c>
      <c r="H326" t="str">
        <f t="shared" si="17"/>
        <v>B</v>
      </c>
    </row>
    <row r="327" spans="1:8" x14ac:dyDescent="0.3">
      <c r="A327">
        <v>426</v>
      </c>
      <c r="B327" t="s">
        <v>14</v>
      </c>
      <c r="C327">
        <v>63</v>
      </c>
      <c r="D327">
        <v>41</v>
      </c>
      <c r="E327">
        <v>70</v>
      </c>
      <c r="F327">
        <f t="shared" si="15"/>
        <v>174</v>
      </c>
      <c r="G327">
        <f t="shared" si="16"/>
        <v>58</v>
      </c>
      <c r="H327" t="str">
        <f t="shared" si="17"/>
        <v>C</v>
      </c>
    </row>
    <row r="328" spans="1:8" x14ac:dyDescent="0.3">
      <c r="A328">
        <v>427</v>
      </c>
      <c r="B328" t="s">
        <v>13</v>
      </c>
      <c r="C328">
        <v>56</v>
      </c>
      <c r="D328">
        <v>83</v>
      </c>
      <c r="E328">
        <v>62</v>
      </c>
      <c r="F328">
        <f t="shared" si="15"/>
        <v>201</v>
      </c>
      <c r="G328">
        <f t="shared" si="16"/>
        <v>67</v>
      </c>
      <c r="H328" t="str">
        <f t="shared" si="17"/>
        <v>B</v>
      </c>
    </row>
    <row r="329" spans="1:8" x14ac:dyDescent="0.3">
      <c r="A329">
        <v>428</v>
      </c>
      <c r="B329" t="s">
        <v>10</v>
      </c>
      <c r="C329">
        <v>57</v>
      </c>
      <c r="D329">
        <v>61</v>
      </c>
      <c r="E329">
        <v>79</v>
      </c>
      <c r="F329">
        <f t="shared" si="15"/>
        <v>197</v>
      </c>
      <c r="G329">
        <f t="shared" si="16"/>
        <v>65.666666666666671</v>
      </c>
      <c r="H329" t="str">
        <f t="shared" si="17"/>
        <v>B</v>
      </c>
    </row>
    <row r="330" spans="1:8" x14ac:dyDescent="0.3">
      <c r="A330">
        <v>429</v>
      </c>
      <c r="B330" t="s">
        <v>10</v>
      </c>
      <c r="C330">
        <v>49</v>
      </c>
      <c r="D330">
        <v>33</v>
      </c>
      <c r="E330">
        <v>62</v>
      </c>
      <c r="F330">
        <f t="shared" si="15"/>
        <v>144</v>
      </c>
      <c r="G330">
        <f t="shared" si="16"/>
        <v>48</v>
      </c>
      <c r="H330" t="str">
        <f t="shared" si="17"/>
        <v>C</v>
      </c>
    </row>
    <row r="331" spans="1:8" x14ac:dyDescent="0.3">
      <c r="A331">
        <v>430</v>
      </c>
      <c r="B331" t="s">
        <v>14</v>
      </c>
      <c r="C331">
        <v>39</v>
      </c>
      <c r="D331">
        <v>70</v>
      </c>
      <c r="E331">
        <v>73</v>
      </c>
      <c r="F331">
        <f t="shared" si="15"/>
        <v>182</v>
      </c>
      <c r="G331">
        <f t="shared" si="16"/>
        <v>60.666666666666664</v>
      </c>
      <c r="H331" t="str">
        <f t="shared" si="17"/>
        <v>B</v>
      </c>
    </row>
    <row r="332" spans="1:8" x14ac:dyDescent="0.3">
      <c r="A332">
        <v>431</v>
      </c>
      <c r="B332" t="s">
        <v>12</v>
      </c>
      <c r="C332">
        <v>96</v>
      </c>
      <c r="D332">
        <v>96</v>
      </c>
      <c r="E332">
        <v>38</v>
      </c>
      <c r="F332">
        <f t="shared" si="15"/>
        <v>230</v>
      </c>
      <c r="G332">
        <f t="shared" si="16"/>
        <v>76.666666666666671</v>
      </c>
      <c r="H332" t="str">
        <f t="shared" si="17"/>
        <v>B</v>
      </c>
    </row>
    <row r="333" spans="1:8" x14ac:dyDescent="0.3">
      <c r="A333">
        <v>432</v>
      </c>
      <c r="B333" t="s">
        <v>14</v>
      </c>
      <c r="C333">
        <v>85</v>
      </c>
      <c r="D333">
        <v>46</v>
      </c>
      <c r="E333">
        <v>72</v>
      </c>
      <c r="F333">
        <f t="shared" si="15"/>
        <v>203</v>
      </c>
      <c r="G333">
        <f t="shared" si="16"/>
        <v>67.666666666666671</v>
      </c>
      <c r="H333" t="str">
        <f t="shared" si="17"/>
        <v>B</v>
      </c>
    </row>
    <row r="334" spans="1:8" x14ac:dyDescent="0.3">
      <c r="A334">
        <v>433</v>
      </c>
      <c r="B334" t="s">
        <v>13</v>
      </c>
      <c r="C334">
        <v>54</v>
      </c>
      <c r="D334">
        <v>37</v>
      </c>
      <c r="E334">
        <v>51</v>
      </c>
      <c r="F334">
        <f t="shared" si="15"/>
        <v>142</v>
      </c>
      <c r="G334">
        <f t="shared" si="16"/>
        <v>47.333333333333336</v>
      </c>
      <c r="H334" t="str">
        <f t="shared" si="17"/>
        <v>C</v>
      </c>
    </row>
    <row r="335" spans="1:8" x14ac:dyDescent="0.3">
      <c r="A335">
        <v>434</v>
      </c>
      <c r="B335" t="s">
        <v>12</v>
      </c>
      <c r="C335">
        <v>56</v>
      </c>
      <c r="D335">
        <v>86</v>
      </c>
      <c r="E335">
        <v>67</v>
      </c>
      <c r="F335">
        <f t="shared" si="15"/>
        <v>209</v>
      </c>
      <c r="G335">
        <f t="shared" si="16"/>
        <v>69.666666666666671</v>
      </c>
      <c r="H335" t="str">
        <f t="shared" si="17"/>
        <v>B</v>
      </c>
    </row>
    <row r="336" spans="1:8" x14ac:dyDescent="0.3">
      <c r="A336">
        <v>435</v>
      </c>
      <c r="B336" t="s">
        <v>9</v>
      </c>
      <c r="C336">
        <v>38</v>
      </c>
      <c r="D336">
        <v>51</v>
      </c>
      <c r="E336">
        <v>68</v>
      </c>
      <c r="F336">
        <f t="shared" si="15"/>
        <v>157</v>
      </c>
      <c r="G336">
        <f t="shared" si="16"/>
        <v>52.333333333333336</v>
      </c>
      <c r="H336" t="str">
        <f t="shared" si="17"/>
        <v>C</v>
      </c>
    </row>
    <row r="337" spans="1:8" x14ac:dyDescent="0.3">
      <c r="A337">
        <v>436</v>
      </c>
      <c r="B337" t="s">
        <v>12</v>
      </c>
      <c r="C337">
        <v>32</v>
      </c>
      <c r="D337">
        <v>92</v>
      </c>
      <c r="E337">
        <v>89</v>
      </c>
      <c r="F337">
        <f t="shared" si="15"/>
        <v>213</v>
      </c>
      <c r="G337">
        <f t="shared" si="16"/>
        <v>71</v>
      </c>
      <c r="H337" t="str">
        <f t="shared" si="17"/>
        <v>B</v>
      </c>
    </row>
    <row r="338" spans="1:8" x14ac:dyDescent="0.3">
      <c r="A338">
        <v>437</v>
      </c>
      <c r="B338" t="s">
        <v>9</v>
      </c>
      <c r="C338">
        <v>57</v>
      </c>
      <c r="D338">
        <v>35</v>
      </c>
      <c r="E338">
        <v>61</v>
      </c>
      <c r="F338">
        <f t="shared" si="15"/>
        <v>153</v>
      </c>
      <c r="G338">
        <f t="shared" si="16"/>
        <v>51</v>
      </c>
      <c r="H338" t="str">
        <f t="shared" si="17"/>
        <v>C</v>
      </c>
    </row>
    <row r="339" spans="1:8" x14ac:dyDescent="0.3">
      <c r="A339">
        <v>438</v>
      </c>
      <c r="B339" t="s">
        <v>8</v>
      </c>
      <c r="C339">
        <v>77</v>
      </c>
      <c r="D339">
        <v>97</v>
      </c>
      <c r="E339">
        <v>43</v>
      </c>
      <c r="F339">
        <f t="shared" si="15"/>
        <v>217</v>
      </c>
      <c r="G339">
        <f t="shared" si="16"/>
        <v>72.333333333333329</v>
      </c>
      <c r="H339" t="str">
        <f t="shared" si="17"/>
        <v>B</v>
      </c>
    </row>
    <row r="340" spans="1:8" x14ac:dyDescent="0.3">
      <c r="A340">
        <v>439</v>
      </c>
      <c r="B340" t="s">
        <v>12</v>
      </c>
      <c r="C340">
        <v>52</v>
      </c>
      <c r="D340">
        <v>100</v>
      </c>
      <c r="E340">
        <v>83</v>
      </c>
      <c r="F340">
        <f t="shared" si="15"/>
        <v>235</v>
      </c>
      <c r="G340">
        <f t="shared" si="16"/>
        <v>78.333333333333329</v>
      </c>
      <c r="H340" t="str">
        <f t="shared" si="17"/>
        <v>B</v>
      </c>
    </row>
    <row r="341" spans="1:8" x14ac:dyDescent="0.3">
      <c r="A341">
        <v>440</v>
      </c>
      <c r="B341" t="s">
        <v>13</v>
      </c>
      <c r="C341">
        <v>48</v>
      </c>
      <c r="D341">
        <v>51</v>
      </c>
      <c r="E341">
        <v>65</v>
      </c>
      <c r="F341">
        <f t="shared" si="15"/>
        <v>164</v>
      </c>
      <c r="G341">
        <f t="shared" si="16"/>
        <v>54.666666666666664</v>
      </c>
      <c r="H341" t="str">
        <f t="shared" si="17"/>
        <v>C</v>
      </c>
    </row>
    <row r="342" spans="1:8" x14ac:dyDescent="0.3">
      <c r="A342">
        <v>441</v>
      </c>
      <c r="B342" t="s">
        <v>10</v>
      </c>
      <c r="C342">
        <v>76</v>
      </c>
      <c r="D342">
        <v>94</v>
      </c>
      <c r="E342">
        <v>39</v>
      </c>
      <c r="F342">
        <f t="shared" si="15"/>
        <v>209</v>
      </c>
      <c r="G342">
        <f t="shared" si="16"/>
        <v>69.666666666666671</v>
      </c>
      <c r="H342" t="str">
        <f t="shared" si="17"/>
        <v>B</v>
      </c>
    </row>
    <row r="343" spans="1:8" x14ac:dyDescent="0.3">
      <c r="A343">
        <v>442</v>
      </c>
      <c r="B343" t="s">
        <v>9</v>
      </c>
      <c r="C343">
        <v>70</v>
      </c>
      <c r="D343">
        <v>99</v>
      </c>
      <c r="E343">
        <v>85</v>
      </c>
      <c r="F343">
        <f t="shared" si="15"/>
        <v>254</v>
      </c>
      <c r="G343">
        <f t="shared" si="16"/>
        <v>84.666666666666671</v>
      </c>
      <c r="H343" t="str">
        <f t="shared" si="17"/>
        <v>A</v>
      </c>
    </row>
    <row r="344" spans="1:8" x14ac:dyDescent="0.3">
      <c r="A344">
        <v>443</v>
      </c>
      <c r="B344" t="s">
        <v>14</v>
      </c>
      <c r="C344">
        <v>81</v>
      </c>
      <c r="D344">
        <v>53</v>
      </c>
      <c r="E344">
        <v>97</v>
      </c>
      <c r="F344">
        <f t="shared" si="15"/>
        <v>231</v>
      </c>
      <c r="G344">
        <f t="shared" si="16"/>
        <v>77</v>
      </c>
      <c r="H344" t="str">
        <f t="shared" si="17"/>
        <v>B</v>
      </c>
    </row>
    <row r="345" spans="1:8" x14ac:dyDescent="0.3">
      <c r="A345">
        <v>444</v>
      </c>
      <c r="B345" t="s">
        <v>11</v>
      </c>
      <c r="C345">
        <v>69</v>
      </c>
      <c r="D345">
        <v>81</v>
      </c>
      <c r="E345">
        <v>41</v>
      </c>
      <c r="F345">
        <f t="shared" si="15"/>
        <v>191</v>
      </c>
      <c r="G345">
        <f t="shared" si="16"/>
        <v>63.666666666666664</v>
      </c>
      <c r="H345" t="str">
        <f t="shared" si="17"/>
        <v>B</v>
      </c>
    </row>
    <row r="346" spans="1:8" x14ac:dyDescent="0.3">
      <c r="A346">
        <v>445</v>
      </c>
      <c r="B346" t="s">
        <v>11</v>
      </c>
      <c r="C346">
        <v>96</v>
      </c>
      <c r="D346">
        <v>45</v>
      </c>
      <c r="E346">
        <v>97</v>
      </c>
      <c r="F346">
        <f t="shared" si="15"/>
        <v>238</v>
      </c>
      <c r="G346">
        <f t="shared" si="16"/>
        <v>79.333333333333329</v>
      </c>
      <c r="H346" t="str">
        <f t="shared" si="17"/>
        <v>B</v>
      </c>
    </row>
    <row r="347" spans="1:8" x14ac:dyDescent="0.3">
      <c r="A347">
        <v>446</v>
      </c>
      <c r="B347" t="s">
        <v>11</v>
      </c>
      <c r="C347">
        <v>88</v>
      </c>
      <c r="D347">
        <v>70</v>
      </c>
      <c r="E347">
        <v>36</v>
      </c>
      <c r="F347">
        <f t="shared" si="15"/>
        <v>194</v>
      </c>
      <c r="G347">
        <f t="shared" si="16"/>
        <v>64.666666666666671</v>
      </c>
      <c r="H347" t="str">
        <f t="shared" si="17"/>
        <v>B</v>
      </c>
    </row>
    <row r="348" spans="1:8" x14ac:dyDescent="0.3">
      <c r="A348">
        <v>447</v>
      </c>
      <c r="B348" t="s">
        <v>12</v>
      </c>
      <c r="C348">
        <v>45</v>
      </c>
      <c r="D348">
        <v>42</v>
      </c>
      <c r="E348">
        <v>39</v>
      </c>
      <c r="F348">
        <f t="shared" si="15"/>
        <v>126</v>
      </c>
      <c r="G348">
        <f t="shared" si="16"/>
        <v>42</v>
      </c>
      <c r="H348" t="str">
        <f t="shared" si="17"/>
        <v>C</v>
      </c>
    </row>
    <row r="349" spans="1:8" x14ac:dyDescent="0.3">
      <c r="A349">
        <v>448</v>
      </c>
      <c r="B349" t="s">
        <v>8</v>
      </c>
      <c r="C349">
        <v>79</v>
      </c>
      <c r="D349">
        <v>87</v>
      </c>
      <c r="E349">
        <v>93</v>
      </c>
      <c r="F349">
        <f t="shared" si="15"/>
        <v>259</v>
      </c>
      <c r="G349">
        <f t="shared" si="16"/>
        <v>86.333333333333329</v>
      </c>
      <c r="H349" t="str">
        <f t="shared" si="17"/>
        <v>A</v>
      </c>
    </row>
    <row r="350" spans="1:8" x14ac:dyDescent="0.3">
      <c r="A350">
        <v>449</v>
      </c>
      <c r="B350" t="s">
        <v>15</v>
      </c>
      <c r="C350">
        <v>46</v>
      </c>
      <c r="D350">
        <v>41</v>
      </c>
      <c r="E350">
        <v>75</v>
      </c>
      <c r="F350">
        <f t="shared" si="15"/>
        <v>162</v>
      </c>
      <c r="G350">
        <f t="shared" si="16"/>
        <v>54</v>
      </c>
      <c r="H350" t="str">
        <f t="shared" si="17"/>
        <v>C</v>
      </c>
    </row>
    <row r="351" spans="1:8" x14ac:dyDescent="0.3">
      <c r="A351">
        <v>450</v>
      </c>
      <c r="B351" t="s">
        <v>14</v>
      </c>
      <c r="C351">
        <v>37</v>
      </c>
      <c r="D351">
        <v>66</v>
      </c>
      <c r="E351">
        <v>100</v>
      </c>
      <c r="F351">
        <f t="shared" si="15"/>
        <v>203</v>
      </c>
      <c r="G351">
        <f t="shared" si="16"/>
        <v>67.666666666666671</v>
      </c>
      <c r="H351" t="str">
        <f t="shared" si="17"/>
        <v>B</v>
      </c>
    </row>
    <row r="352" spans="1:8" x14ac:dyDescent="0.3">
      <c r="A352">
        <v>451</v>
      </c>
      <c r="B352" t="s">
        <v>8</v>
      </c>
      <c r="C352">
        <v>89</v>
      </c>
      <c r="D352">
        <v>86</v>
      </c>
      <c r="E352">
        <v>61</v>
      </c>
      <c r="F352">
        <f t="shared" si="15"/>
        <v>236</v>
      </c>
      <c r="G352">
        <f t="shared" si="16"/>
        <v>78.666666666666671</v>
      </c>
      <c r="H352" t="str">
        <f t="shared" si="17"/>
        <v>B</v>
      </c>
    </row>
    <row r="353" spans="1:8" x14ac:dyDescent="0.3">
      <c r="A353">
        <v>452</v>
      </c>
      <c r="B353" t="s">
        <v>8</v>
      </c>
      <c r="C353">
        <v>53</v>
      </c>
      <c r="D353">
        <v>66</v>
      </c>
      <c r="E353">
        <v>98</v>
      </c>
      <c r="F353">
        <f t="shared" si="15"/>
        <v>217</v>
      </c>
      <c r="G353">
        <f t="shared" si="16"/>
        <v>72.333333333333329</v>
      </c>
      <c r="H353" t="str">
        <f t="shared" si="17"/>
        <v>B</v>
      </c>
    </row>
    <row r="354" spans="1:8" x14ac:dyDescent="0.3">
      <c r="A354">
        <v>453</v>
      </c>
      <c r="B354" t="s">
        <v>12</v>
      </c>
      <c r="C354">
        <v>96</v>
      </c>
      <c r="D354">
        <v>33</v>
      </c>
      <c r="E354">
        <v>43</v>
      </c>
      <c r="F354">
        <f t="shared" si="15"/>
        <v>172</v>
      </c>
      <c r="G354">
        <f t="shared" si="16"/>
        <v>57.333333333333336</v>
      </c>
      <c r="H354" t="str">
        <f t="shared" si="17"/>
        <v>C</v>
      </c>
    </row>
    <row r="355" spans="1:8" x14ac:dyDescent="0.3">
      <c r="A355">
        <v>454</v>
      </c>
      <c r="B355" t="s">
        <v>11</v>
      </c>
      <c r="C355">
        <v>36</v>
      </c>
      <c r="D355">
        <v>50</v>
      </c>
      <c r="E355">
        <v>81</v>
      </c>
      <c r="F355">
        <f t="shared" si="15"/>
        <v>167</v>
      </c>
      <c r="G355">
        <f t="shared" si="16"/>
        <v>55.666666666666664</v>
      </c>
      <c r="H355" t="str">
        <f t="shared" si="17"/>
        <v>C</v>
      </c>
    </row>
    <row r="356" spans="1:8" x14ac:dyDescent="0.3">
      <c r="A356">
        <v>455</v>
      </c>
      <c r="B356" t="s">
        <v>11</v>
      </c>
      <c r="C356">
        <v>54</v>
      </c>
      <c r="D356">
        <v>56</v>
      </c>
      <c r="E356">
        <v>41</v>
      </c>
      <c r="F356">
        <f t="shared" si="15"/>
        <v>151</v>
      </c>
      <c r="G356">
        <f t="shared" si="16"/>
        <v>50.333333333333336</v>
      </c>
      <c r="H356" t="str">
        <f t="shared" si="17"/>
        <v>C</v>
      </c>
    </row>
    <row r="357" spans="1:8" x14ac:dyDescent="0.3">
      <c r="A357">
        <v>456</v>
      </c>
      <c r="B357" t="s">
        <v>10</v>
      </c>
      <c r="C357">
        <v>81</v>
      </c>
      <c r="D357">
        <v>81</v>
      </c>
      <c r="E357">
        <v>94</v>
      </c>
      <c r="F357">
        <f t="shared" si="15"/>
        <v>256</v>
      </c>
      <c r="G357">
        <f t="shared" si="16"/>
        <v>85.333333333333329</v>
      </c>
      <c r="H357" t="str">
        <f t="shared" si="17"/>
        <v>A</v>
      </c>
    </row>
    <row r="358" spans="1:8" x14ac:dyDescent="0.3">
      <c r="A358">
        <v>457</v>
      </c>
      <c r="B358" t="s">
        <v>8</v>
      </c>
      <c r="C358">
        <v>88</v>
      </c>
      <c r="D358">
        <v>68</v>
      </c>
      <c r="E358">
        <v>64</v>
      </c>
      <c r="F358">
        <f t="shared" si="15"/>
        <v>220</v>
      </c>
      <c r="G358">
        <f t="shared" si="16"/>
        <v>73.333333333333329</v>
      </c>
      <c r="H358" t="str">
        <f t="shared" si="17"/>
        <v>B</v>
      </c>
    </row>
    <row r="359" spans="1:8" x14ac:dyDescent="0.3">
      <c r="A359">
        <v>458</v>
      </c>
      <c r="B359" t="s">
        <v>15</v>
      </c>
      <c r="C359">
        <v>54</v>
      </c>
      <c r="D359">
        <v>60</v>
      </c>
      <c r="E359">
        <v>31</v>
      </c>
      <c r="F359">
        <f t="shared" si="15"/>
        <v>145</v>
      </c>
      <c r="G359">
        <f t="shared" si="16"/>
        <v>48.333333333333336</v>
      </c>
      <c r="H359" t="str">
        <f t="shared" si="17"/>
        <v>C</v>
      </c>
    </row>
    <row r="360" spans="1:8" x14ac:dyDescent="0.3">
      <c r="A360">
        <v>459</v>
      </c>
      <c r="B360" t="s">
        <v>12</v>
      </c>
      <c r="C360">
        <v>73</v>
      </c>
      <c r="D360">
        <v>65</v>
      </c>
      <c r="E360">
        <v>54</v>
      </c>
      <c r="F360">
        <f t="shared" si="15"/>
        <v>192</v>
      </c>
      <c r="G360">
        <f t="shared" si="16"/>
        <v>64</v>
      </c>
      <c r="H360" t="str">
        <f t="shared" si="17"/>
        <v>B</v>
      </c>
    </row>
    <row r="361" spans="1:8" x14ac:dyDescent="0.3">
      <c r="A361">
        <v>460</v>
      </c>
      <c r="B361" t="s">
        <v>9</v>
      </c>
      <c r="C361">
        <v>90</v>
      </c>
      <c r="D361">
        <v>70</v>
      </c>
      <c r="E361">
        <v>43</v>
      </c>
      <c r="F361">
        <f t="shared" si="15"/>
        <v>203</v>
      </c>
      <c r="G361">
        <f t="shared" si="16"/>
        <v>67.666666666666671</v>
      </c>
      <c r="H361" t="str">
        <f t="shared" si="17"/>
        <v>B</v>
      </c>
    </row>
    <row r="362" spans="1:8" x14ac:dyDescent="0.3">
      <c r="A362">
        <v>461</v>
      </c>
      <c r="B362" t="s">
        <v>13</v>
      </c>
      <c r="C362">
        <v>48</v>
      </c>
      <c r="D362">
        <v>60</v>
      </c>
      <c r="E362">
        <v>99</v>
      </c>
      <c r="F362">
        <f t="shared" si="15"/>
        <v>207</v>
      </c>
      <c r="G362">
        <f t="shared" si="16"/>
        <v>69</v>
      </c>
      <c r="H362" t="str">
        <f t="shared" si="17"/>
        <v>B</v>
      </c>
    </row>
    <row r="363" spans="1:8" x14ac:dyDescent="0.3">
      <c r="A363">
        <v>462</v>
      </c>
      <c r="B363" t="s">
        <v>11</v>
      </c>
      <c r="C363">
        <v>31</v>
      </c>
      <c r="D363">
        <v>65</v>
      </c>
      <c r="E363">
        <v>82</v>
      </c>
      <c r="F363">
        <f t="shared" si="15"/>
        <v>178</v>
      </c>
      <c r="G363">
        <f t="shared" si="16"/>
        <v>59.333333333333336</v>
      </c>
      <c r="H363" t="str">
        <f t="shared" si="17"/>
        <v>C</v>
      </c>
    </row>
    <row r="364" spans="1:8" x14ac:dyDescent="0.3">
      <c r="A364">
        <v>463</v>
      </c>
      <c r="B364" t="s">
        <v>14</v>
      </c>
      <c r="C364">
        <v>44</v>
      </c>
      <c r="D364">
        <v>77</v>
      </c>
      <c r="E364">
        <v>85</v>
      </c>
      <c r="F364">
        <f t="shared" si="15"/>
        <v>206</v>
      </c>
      <c r="G364">
        <f t="shared" si="16"/>
        <v>68.666666666666671</v>
      </c>
      <c r="H364" t="str">
        <f t="shared" si="17"/>
        <v>B</v>
      </c>
    </row>
    <row r="365" spans="1:8" x14ac:dyDescent="0.3">
      <c r="A365">
        <v>464</v>
      </c>
      <c r="B365" t="s">
        <v>10</v>
      </c>
      <c r="C365">
        <v>96</v>
      </c>
      <c r="D365">
        <v>53</v>
      </c>
      <c r="E365">
        <v>77</v>
      </c>
      <c r="F365">
        <f t="shared" si="15"/>
        <v>226</v>
      </c>
      <c r="G365">
        <f t="shared" si="16"/>
        <v>75.333333333333329</v>
      </c>
      <c r="H365" t="str">
        <f t="shared" si="17"/>
        <v>B</v>
      </c>
    </row>
    <row r="366" spans="1:8" x14ac:dyDescent="0.3">
      <c r="A366">
        <v>465</v>
      </c>
      <c r="B366" t="s">
        <v>13</v>
      </c>
      <c r="C366">
        <v>60</v>
      </c>
      <c r="D366">
        <v>77</v>
      </c>
      <c r="E366">
        <v>97</v>
      </c>
      <c r="F366">
        <f t="shared" si="15"/>
        <v>234</v>
      </c>
      <c r="G366">
        <f t="shared" si="16"/>
        <v>78</v>
      </c>
      <c r="H366" t="str">
        <f t="shared" si="17"/>
        <v>B</v>
      </c>
    </row>
    <row r="367" spans="1:8" x14ac:dyDescent="0.3">
      <c r="A367">
        <v>466</v>
      </c>
      <c r="B367" t="s">
        <v>12</v>
      </c>
      <c r="C367">
        <v>36</v>
      </c>
      <c r="D367">
        <v>77</v>
      </c>
      <c r="E367">
        <v>39</v>
      </c>
      <c r="F367">
        <f t="shared" si="15"/>
        <v>152</v>
      </c>
      <c r="G367">
        <f t="shared" si="16"/>
        <v>50.666666666666664</v>
      </c>
      <c r="H367" t="str">
        <f t="shared" si="17"/>
        <v>C</v>
      </c>
    </row>
    <row r="368" spans="1:8" x14ac:dyDescent="0.3">
      <c r="A368">
        <v>467</v>
      </c>
      <c r="B368" t="s">
        <v>15</v>
      </c>
      <c r="C368">
        <v>56</v>
      </c>
      <c r="D368">
        <v>95</v>
      </c>
      <c r="E368">
        <v>65</v>
      </c>
      <c r="F368">
        <f t="shared" si="15"/>
        <v>216</v>
      </c>
      <c r="G368">
        <f t="shared" si="16"/>
        <v>72</v>
      </c>
      <c r="H368" t="str">
        <f t="shared" si="17"/>
        <v>B</v>
      </c>
    </row>
    <row r="369" spans="1:8" x14ac:dyDescent="0.3">
      <c r="A369">
        <v>468</v>
      </c>
      <c r="B369" t="s">
        <v>11</v>
      </c>
      <c r="C369">
        <v>72</v>
      </c>
      <c r="D369">
        <v>93</v>
      </c>
      <c r="E369">
        <v>38</v>
      </c>
      <c r="F369">
        <f t="shared" si="15"/>
        <v>203</v>
      </c>
      <c r="G369">
        <f t="shared" si="16"/>
        <v>67.666666666666671</v>
      </c>
      <c r="H369" t="str">
        <f t="shared" si="17"/>
        <v>B</v>
      </c>
    </row>
    <row r="370" spans="1:8" x14ac:dyDescent="0.3">
      <c r="A370">
        <v>469</v>
      </c>
      <c r="B370" t="s">
        <v>14</v>
      </c>
      <c r="C370">
        <v>100</v>
      </c>
      <c r="D370">
        <v>38</v>
      </c>
      <c r="E370">
        <v>97</v>
      </c>
      <c r="F370">
        <f t="shared" si="15"/>
        <v>235</v>
      </c>
      <c r="G370">
        <f t="shared" si="16"/>
        <v>78.333333333333329</v>
      </c>
      <c r="H370" t="str">
        <f t="shared" si="17"/>
        <v>B</v>
      </c>
    </row>
    <row r="371" spans="1:8" x14ac:dyDescent="0.3">
      <c r="A371">
        <v>470</v>
      </c>
      <c r="B371" t="s">
        <v>13</v>
      </c>
      <c r="C371">
        <v>99</v>
      </c>
      <c r="D371">
        <v>43</v>
      </c>
      <c r="E371">
        <v>70</v>
      </c>
      <c r="F371">
        <f t="shared" si="15"/>
        <v>212</v>
      </c>
      <c r="G371">
        <f t="shared" si="16"/>
        <v>70.666666666666671</v>
      </c>
      <c r="H371" t="str">
        <f t="shared" si="17"/>
        <v>B</v>
      </c>
    </row>
    <row r="372" spans="1:8" x14ac:dyDescent="0.3">
      <c r="A372">
        <v>471</v>
      </c>
      <c r="B372" t="s">
        <v>14</v>
      </c>
      <c r="C372">
        <v>88</v>
      </c>
      <c r="D372">
        <v>67</v>
      </c>
      <c r="E372">
        <v>74</v>
      </c>
      <c r="F372">
        <f t="shared" si="15"/>
        <v>229</v>
      </c>
      <c r="G372">
        <f t="shared" si="16"/>
        <v>76.333333333333329</v>
      </c>
      <c r="H372" t="str">
        <f t="shared" si="17"/>
        <v>B</v>
      </c>
    </row>
    <row r="373" spans="1:8" x14ac:dyDescent="0.3">
      <c r="A373">
        <v>472</v>
      </c>
      <c r="B373" t="s">
        <v>12</v>
      </c>
      <c r="C373">
        <v>86</v>
      </c>
      <c r="D373">
        <v>39</v>
      </c>
      <c r="E373">
        <v>41</v>
      </c>
      <c r="F373">
        <f t="shared" si="15"/>
        <v>166</v>
      </c>
      <c r="G373">
        <f t="shared" si="16"/>
        <v>55.333333333333336</v>
      </c>
      <c r="H373" t="str">
        <f t="shared" si="17"/>
        <v>C</v>
      </c>
    </row>
    <row r="374" spans="1:8" x14ac:dyDescent="0.3">
      <c r="A374">
        <v>473</v>
      </c>
      <c r="B374" t="s">
        <v>9</v>
      </c>
      <c r="C374">
        <v>57</v>
      </c>
      <c r="D374">
        <v>62</v>
      </c>
      <c r="E374">
        <v>58</v>
      </c>
      <c r="F374">
        <f t="shared" si="15"/>
        <v>177</v>
      </c>
      <c r="G374">
        <f t="shared" si="16"/>
        <v>59</v>
      </c>
      <c r="H374" t="str">
        <f t="shared" si="17"/>
        <v>C</v>
      </c>
    </row>
    <row r="375" spans="1:8" x14ac:dyDescent="0.3">
      <c r="A375">
        <v>474</v>
      </c>
      <c r="B375" t="s">
        <v>14</v>
      </c>
      <c r="C375">
        <v>70</v>
      </c>
      <c r="D375">
        <v>33</v>
      </c>
      <c r="E375">
        <v>67</v>
      </c>
      <c r="F375">
        <f t="shared" si="15"/>
        <v>170</v>
      </c>
      <c r="G375">
        <f t="shared" si="16"/>
        <v>56.666666666666664</v>
      </c>
      <c r="H375" t="str">
        <f t="shared" si="17"/>
        <v>C</v>
      </c>
    </row>
    <row r="376" spans="1:8" x14ac:dyDescent="0.3">
      <c r="A376">
        <v>475</v>
      </c>
      <c r="B376" t="s">
        <v>9</v>
      </c>
      <c r="C376">
        <v>32</v>
      </c>
      <c r="D376">
        <v>92</v>
      </c>
      <c r="E376">
        <v>52</v>
      </c>
      <c r="F376">
        <f t="shared" si="15"/>
        <v>176</v>
      </c>
      <c r="G376">
        <f t="shared" si="16"/>
        <v>58.666666666666664</v>
      </c>
      <c r="H376" t="str">
        <f t="shared" si="17"/>
        <v>C</v>
      </c>
    </row>
    <row r="377" spans="1:8" x14ac:dyDescent="0.3">
      <c r="A377">
        <v>476</v>
      </c>
      <c r="B377" t="s">
        <v>9</v>
      </c>
      <c r="C377">
        <v>72</v>
      </c>
      <c r="D377">
        <v>33</v>
      </c>
      <c r="E377">
        <v>77</v>
      </c>
      <c r="F377">
        <f t="shared" si="15"/>
        <v>182</v>
      </c>
      <c r="G377">
        <f t="shared" si="16"/>
        <v>60.666666666666664</v>
      </c>
      <c r="H377" t="str">
        <f t="shared" si="17"/>
        <v>B</v>
      </c>
    </row>
    <row r="378" spans="1:8" x14ac:dyDescent="0.3">
      <c r="A378">
        <v>477</v>
      </c>
      <c r="B378" t="s">
        <v>9</v>
      </c>
      <c r="C378">
        <v>72</v>
      </c>
      <c r="D378">
        <v>94</v>
      </c>
      <c r="E378">
        <v>55</v>
      </c>
      <c r="F378">
        <f t="shared" si="15"/>
        <v>221</v>
      </c>
      <c r="G378">
        <f t="shared" si="16"/>
        <v>73.666666666666671</v>
      </c>
      <c r="H378" t="str">
        <f t="shared" si="17"/>
        <v>B</v>
      </c>
    </row>
    <row r="379" spans="1:8" x14ac:dyDescent="0.3">
      <c r="A379">
        <v>478</v>
      </c>
      <c r="B379" t="s">
        <v>14</v>
      </c>
      <c r="C379">
        <v>54</v>
      </c>
      <c r="D379">
        <v>76</v>
      </c>
      <c r="E379">
        <v>52</v>
      </c>
      <c r="F379">
        <f t="shared" si="15"/>
        <v>182</v>
      </c>
      <c r="G379">
        <f t="shared" si="16"/>
        <v>60.666666666666664</v>
      </c>
      <c r="H379" t="str">
        <f t="shared" si="17"/>
        <v>B</v>
      </c>
    </row>
    <row r="380" spans="1:8" x14ac:dyDescent="0.3">
      <c r="A380">
        <v>479</v>
      </c>
      <c r="B380" t="s">
        <v>12</v>
      </c>
      <c r="C380">
        <v>41</v>
      </c>
      <c r="D380">
        <v>51</v>
      </c>
      <c r="E380">
        <v>81</v>
      </c>
      <c r="F380">
        <f t="shared" si="15"/>
        <v>173</v>
      </c>
      <c r="G380">
        <f t="shared" si="16"/>
        <v>57.666666666666664</v>
      </c>
      <c r="H380" t="str">
        <f t="shared" si="17"/>
        <v>C</v>
      </c>
    </row>
    <row r="381" spans="1:8" x14ac:dyDescent="0.3">
      <c r="A381">
        <v>480</v>
      </c>
      <c r="B381" t="s">
        <v>13</v>
      </c>
      <c r="C381">
        <v>41</v>
      </c>
      <c r="D381">
        <v>90</v>
      </c>
      <c r="E381">
        <v>42</v>
      </c>
      <c r="F381">
        <f t="shared" si="15"/>
        <v>173</v>
      </c>
      <c r="G381">
        <f t="shared" si="16"/>
        <v>57.666666666666664</v>
      </c>
      <c r="H381" t="str">
        <f t="shared" si="17"/>
        <v>C</v>
      </c>
    </row>
    <row r="382" spans="1:8" x14ac:dyDescent="0.3">
      <c r="A382">
        <v>481</v>
      </c>
      <c r="B382" t="s">
        <v>15</v>
      </c>
      <c r="C382">
        <v>33</v>
      </c>
      <c r="D382">
        <v>57</v>
      </c>
      <c r="E382">
        <v>43</v>
      </c>
      <c r="F382">
        <f t="shared" si="15"/>
        <v>133</v>
      </c>
      <c r="G382">
        <f t="shared" si="16"/>
        <v>44.333333333333336</v>
      </c>
      <c r="H382" t="str">
        <f t="shared" si="17"/>
        <v>C</v>
      </c>
    </row>
    <row r="383" spans="1:8" x14ac:dyDescent="0.3">
      <c r="A383">
        <v>482</v>
      </c>
      <c r="B383" t="s">
        <v>8</v>
      </c>
      <c r="C383">
        <v>30</v>
      </c>
      <c r="D383">
        <v>32</v>
      </c>
      <c r="E383">
        <v>62</v>
      </c>
      <c r="F383">
        <f t="shared" si="15"/>
        <v>124</v>
      </c>
      <c r="G383">
        <f t="shared" si="16"/>
        <v>41.333333333333336</v>
      </c>
      <c r="H383" t="str">
        <f t="shared" si="17"/>
        <v>C</v>
      </c>
    </row>
    <row r="384" spans="1:8" x14ac:dyDescent="0.3">
      <c r="A384">
        <v>483</v>
      </c>
      <c r="B384" t="s">
        <v>13</v>
      </c>
      <c r="C384">
        <v>50</v>
      </c>
      <c r="D384">
        <v>63</v>
      </c>
      <c r="E384">
        <v>36</v>
      </c>
      <c r="F384">
        <f t="shared" si="15"/>
        <v>149</v>
      </c>
      <c r="G384">
        <f t="shared" si="16"/>
        <v>49.666666666666664</v>
      </c>
      <c r="H384" t="str">
        <f t="shared" si="17"/>
        <v>C</v>
      </c>
    </row>
    <row r="385" spans="1:8" x14ac:dyDescent="0.3">
      <c r="A385">
        <v>484</v>
      </c>
      <c r="B385" t="s">
        <v>9</v>
      </c>
      <c r="C385">
        <v>38</v>
      </c>
      <c r="D385">
        <v>55</v>
      </c>
      <c r="E385">
        <v>40</v>
      </c>
      <c r="F385">
        <f t="shared" si="15"/>
        <v>133</v>
      </c>
      <c r="G385">
        <f t="shared" si="16"/>
        <v>44.333333333333336</v>
      </c>
      <c r="H385" t="str">
        <f t="shared" si="17"/>
        <v>C</v>
      </c>
    </row>
    <row r="386" spans="1:8" x14ac:dyDescent="0.3">
      <c r="A386">
        <v>485</v>
      </c>
      <c r="B386" t="s">
        <v>15</v>
      </c>
      <c r="C386">
        <v>34</v>
      </c>
      <c r="D386">
        <v>96</v>
      </c>
      <c r="E386">
        <v>55</v>
      </c>
      <c r="F386">
        <f t="shared" ref="F386:F449" si="18">SUM(C386:E386)</f>
        <v>185</v>
      </c>
      <c r="G386">
        <f t="shared" ref="G386:G449" si="19">F386/3</f>
        <v>61.666666666666664</v>
      </c>
      <c r="H386" t="str">
        <f t="shared" ref="H386:H449" si="20">IF(G386&gt;=80,"A",IF(G386&gt;=60,"B",IF(G386&gt;=40,"C","F")))</f>
        <v>B</v>
      </c>
    </row>
    <row r="387" spans="1:8" x14ac:dyDescent="0.3">
      <c r="A387">
        <v>486</v>
      </c>
      <c r="B387" t="s">
        <v>11</v>
      </c>
      <c r="C387">
        <v>37</v>
      </c>
      <c r="D387">
        <v>65</v>
      </c>
      <c r="E387">
        <v>69</v>
      </c>
      <c r="F387">
        <f t="shared" si="18"/>
        <v>171</v>
      </c>
      <c r="G387">
        <f t="shared" si="19"/>
        <v>57</v>
      </c>
      <c r="H387" t="str">
        <f t="shared" si="20"/>
        <v>C</v>
      </c>
    </row>
    <row r="388" spans="1:8" x14ac:dyDescent="0.3">
      <c r="A388">
        <v>487</v>
      </c>
      <c r="B388" t="s">
        <v>10</v>
      </c>
      <c r="C388">
        <v>42</v>
      </c>
      <c r="D388">
        <v>76</v>
      </c>
      <c r="E388">
        <v>49</v>
      </c>
      <c r="F388">
        <f t="shared" si="18"/>
        <v>167</v>
      </c>
      <c r="G388">
        <f t="shared" si="19"/>
        <v>55.666666666666664</v>
      </c>
      <c r="H388" t="str">
        <f t="shared" si="20"/>
        <v>C</v>
      </c>
    </row>
    <row r="389" spans="1:8" x14ac:dyDescent="0.3">
      <c r="A389">
        <v>488</v>
      </c>
      <c r="B389" t="s">
        <v>9</v>
      </c>
      <c r="C389">
        <v>33</v>
      </c>
      <c r="D389">
        <v>57</v>
      </c>
      <c r="E389">
        <v>41</v>
      </c>
      <c r="F389">
        <f t="shared" si="18"/>
        <v>131</v>
      </c>
      <c r="G389">
        <f t="shared" si="19"/>
        <v>43.666666666666664</v>
      </c>
      <c r="H389" t="str">
        <f t="shared" si="20"/>
        <v>C</v>
      </c>
    </row>
    <row r="390" spans="1:8" x14ac:dyDescent="0.3">
      <c r="A390">
        <v>489</v>
      </c>
      <c r="B390" t="s">
        <v>13</v>
      </c>
      <c r="C390">
        <v>34</v>
      </c>
      <c r="D390">
        <v>72</v>
      </c>
      <c r="E390">
        <v>66</v>
      </c>
      <c r="F390">
        <f t="shared" si="18"/>
        <v>172</v>
      </c>
      <c r="G390">
        <f t="shared" si="19"/>
        <v>57.333333333333336</v>
      </c>
      <c r="H390" t="str">
        <f t="shared" si="20"/>
        <v>C</v>
      </c>
    </row>
    <row r="391" spans="1:8" x14ac:dyDescent="0.3">
      <c r="A391">
        <v>490</v>
      </c>
      <c r="B391" t="s">
        <v>14</v>
      </c>
      <c r="C391">
        <v>47</v>
      </c>
      <c r="D391">
        <v>51</v>
      </c>
      <c r="E391">
        <v>45</v>
      </c>
      <c r="F391">
        <f t="shared" si="18"/>
        <v>143</v>
      </c>
      <c r="G391">
        <f t="shared" si="19"/>
        <v>47.666666666666664</v>
      </c>
      <c r="H391" t="str">
        <f t="shared" si="20"/>
        <v>C</v>
      </c>
    </row>
    <row r="392" spans="1:8" x14ac:dyDescent="0.3">
      <c r="A392">
        <v>491</v>
      </c>
      <c r="B392" t="s">
        <v>10</v>
      </c>
      <c r="C392">
        <v>42</v>
      </c>
      <c r="D392">
        <v>69</v>
      </c>
      <c r="E392">
        <v>35</v>
      </c>
      <c r="F392">
        <f t="shared" si="18"/>
        <v>146</v>
      </c>
      <c r="G392">
        <f t="shared" si="19"/>
        <v>48.666666666666664</v>
      </c>
      <c r="H392" t="str">
        <f t="shared" si="20"/>
        <v>C</v>
      </c>
    </row>
    <row r="393" spans="1:8" x14ac:dyDescent="0.3">
      <c r="A393">
        <v>492</v>
      </c>
      <c r="B393" t="s">
        <v>14</v>
      </c>
      <c r="C393">
        <v>41</v>
      </c>
      <c r="D393">
        <v>91</v>
      </c>
      <c r="E393">
        <v>33</v>
      </c>
      <c r="F393">
        <f t="shared" si="18"/>
        <v>165</v>
      </c>
      <c r="G393">
        <f t="shared" si="19"/>
        <v>55</v>
      </c>
      <c r="H393" t="str">
        <f t="shared" si="20"/>
        <v>C</v>
      </c>
    </row>
    <row r="394" spans="1:8" x14ac:dyDescent="0.3">
      <c r="A394">
        <v>493</v>
      </c>
      <c r="B394" t="s">
        <v>8</v>
      </c>
      <c r="C394">
        <v>73</v>
      </c>
      <c r="D394">
        <v>46</v>
      </c>
      <c r="E394">
        <v>90</v>
      </c>
      <c r="F394">
        <f t="shared" si="18"/>
        <v>209</v>
      </c>
      <c r="G394">
        <f t="shared" si="19"/>
        <v>69.666666666666671</v>
      </c>
      <c r="H394" t="str">
        <f t="shared" si="20"/>
        <v>B</v>
      </c>
    </row>
    <row r="395" spans="1:8" x14ac:dyDescent="0.3">
      <c r="A395">
        <v>494</v>
      </c>
      <c r="B395" t="s">
        <v>14</v>
      </c>
      <c r="C395">
        <v>98</v>
      </c>
      <c r="D395">
        <v>56</v>
      </c>
      <c r="E395">
        <v>37</v>
      </c>
      <c r="F395">
        <f t="shared" si="18"/>
        <v>191</v>
      </c>
      <c r="G395">
        <f t="shared" si="19"/>
        <v>63.666666666666664</v>
      </c>
      <c r="H395" t="str">
        <f t="shared" si="20"/>
        <v>B</v>
      </c>
    </row>
    <row r="396" spans="1:8" x14ac:dyDescent="0.3">
      <c r="A396">
        <v>495</v>
      </c>
      <c r="B396" t="s">
        <v>15</v>
      </c>
      <c r="C396">
        <v>66</v>
      </c>
      <c r="D396">
        <v>78</v>
      </c>
      <c r="E396">
        <v>84</v>
      </c>
      <c r="F396">
        <f t="shared" si="18"/>
        <v>228</v>
      </c>
      <c r="G396">
        <f t="shared" si="19"/>
        <v>76</v>
      </c>
      <c r="H396" t="str">
        <f t="shared" si="20"/>
        <v>B</v>
      </c>
    </row>
    <row r="397" spans="1:8" x14ac:dyDescent="0.3">
      <c r="A397">
        <v>496</v>
      </c>
      <c r="B397" t="s">
        <v>10</v>
      </c>
      <c r="C397">
        <v>68</v>
      </c>
      <c r="D397">
        <v>87</v>
      </c>
      <c r="E397">
        <v>53</v>
      </c>
      <c r="F397">
        <f t="shared" si="18"/>
        <v>208</v>
      </c>
      <c r="G397">
        <f t="shared" si="19"/>
        <v>69.333333333333329</v>
      </c>
      <c r="H397" t="str">
        <f t="shared" si="20"/>
        <v>B</v>
      </c>
    </row>
    <row r="398" spans="1:8" x14ac:dyDescent="0.3">
      <c r="A398">
        <v>497</v>
      </c>
      <c r="B398" t="s">
        <v>11</v>
      </c>
      <c r="C398">
        <v>33</v>
      </c>
      <c r="D398">
        <v>76</v>
      </c>
      <c r="E398">
        <v>32</v>
      </c>
      <c r="F398">
        <f t="shared" si="18"/>
        <v>141</v>
      </c>
      <c r="G398">
        <f t="shared" si="19"/>
        <v>47</v>
      </c>
      <c r="H398" t="str">
        <f t="shared" si="20"/>
        <v>C</v>
      </c>
    </row>
    <row r="399" spans="1:8" x14ac:dyDescent="0.3">
      <c r="A399">
        <v>498</v>
      </c>
      <c r="B399" t="s">
        <v>15</v>
      </c>
      <c r="C399">
        <v>62</v>
      </c>
      <c r="D399">
        <v>92</v>
      </c>
      <c r="E399">
        <v>95</v>
      </c>
      <c r="F399">
        <f t="shared" si="18"/>
        <v>249</v>
      </c>
      <c r="G399">
        <f t="shared" si="19"/>
        <v>83</v>
      </c>
      <c r="H399" t="str">
        <f t="shared" si="20"/>
        <v>A</v>
      </c>
    </row>
    <row r="400" spans="1:8" x14ac:dyDescent="0.3">
      <c r="A400">
        <v>499</v>
      </c>
      <c r="B400" t="s">
        <v>11</v>
      </c>
      <c r="C400">
        <v>46</v>
      </c>
      <c r="D400">
        <v>51</v>
      </c>
      <c r="E400">
        <v>64</v>
      </c>
      <c r="F400">
        <f t="shared" si="18"/>
        <v>161</v>
      </c>
      <c r="G400">
        <f t="shared" si="19"/>
        <v>53.666666666666664</v>
      </c>
      <c r="H400" t="str">
        <f t="shared" si="20"/>
        <v>C</v>
      </c>
    </row>
    <row r="401" spans="1:8" x14ac:dyDescent="0.3">
      <c r="A401">
        <v>500</v>
      </c>
      <c r="B401" t="s">
        <v>8</v>
      </c>
      <c r="C401">
        <v>74</v>
      </c>
      <c r="D401">
        <v>95</v>
      </c>
      <c r="E401">
        <v>50</v>
      </c>
      <c r="F401">
        <f t="shared" si="18"/>
        <v>219</v>
      </c>
      <c r="G401">
        <f t="shared" si="19"/>
        <v>73</v>
      </c>
      <c r="H401" t="str">
        <f t="shared" si="20"/>
        <v>B</v>
      </c>
    </row>
    <row r="402" spans="1:8" x14ac:dyDescent="0.3">
      <c r="A402">
        <v>501</v>
      </c>
      <c r="B402" t="s">
        <v>12</v>
      </c>
      <c r="C402">
        <v>52</v>
      </c>
      <c r="D402">
        <v>90</v>
      </c>
      <c r="E402">
        <v>83</v>
      </c>
      <c r="F402">
        <f t="shared" si="18"/>
        <v>225</v>
      </c>
      <c r="G402">
        <f t="shared" si="19"/>
        <v>75</v>
      </c>
      <c r="H402" t="str">
        <f t="shared" si="20"/>
        <v>B</v>
      </c>
    </row>
    <row r="403" spans="1:8" x14ac:dyDescent="0.3">
      <c r="A403">
        <v>502</v>
      </c>
      <c r="B403" t="s">
        <v>10</v>
      </c>
      <c r="C403">
        <v>47</v>
      </c>
      <c r="D403">
        <v>59</v>
      </c>
      <c r="E403">
        <v>58</v>
      </c>
      <c r="F403">
        <f t="shared" si="18"/>
        <v>164</v>
      </c>
      <c r="G403">
        <f t="shared" si="19"/>
        <v>54.666666666666664</v>
      </c>
      <c r="H403" t="str">
        <f t="shared" si="20"/>
        <v>C</v>
      </c>
    </row>
    <row r="404" spans="1:8" x14ac:dyDescent="0.3">
      <c r="A404">
        <v>503</v>
      </c>
      <c r="B404" t="s">
        <v>8</v>
      </c>
      <c r="C404">
        <v>51</v>
      </c>
      <c r="D404">
        <v>90</v>
      </c>
      <c r="E404">
        <v>56</v>
      </c>
      <c r="F404">
        <f t="shared" si="18"/>
        <v>197</v>
      </c>
      <c r="G404">
        <f t="shared" si="19"/>
        <v>65.666666666666671</v>
      </c>
      <c r="H404" t="str">
        <f t="shared" si="20"/>
        <v>B</v>
      </c>
    </row>
    <row r="405" spans="1:8" x14ac:dyDescent="0.3">
      <c r="A405">
        <v>504</v>
      </c>
      <c r="B405" t="s">
        <v>15</v>
      </c>
      <c r="C405">
        <v>58</v>
      </c>
      <c r="D405">
        <v>48</v>
      </c>
      <c r="E405">
        <v>89</v>
      </c>
      <c r="F405">
        <f t="shared" si="18"/>
        <v>195</v>
      </c>
      <c r="G405">
        <f t="shared" si="19"/>
        <v>65</v>
      </c>
      <c r="H405" t="str">
        <f t="shared" si="20"/>
        <v>B</v>
      </c>
    </row>
    <row r="406" spans="1:8" x14ac:dyDescent="0.3">
      <c r="A406">
        <v>505</v>
      </c>
      <c r="B406" t="s">
        <v>15</v>
      </c>
      <c r="C406">
        <v>52</v>
      </c>
      <c r="D406">
        <v>56</v>
      </c>
      <c r="E406">
        <v>41</v>
      </c>
      <c r="F406">
        <f t="shared" si="18"/>
        <v>149</v>
      </c>
      <c r="G406">
        <f t="shared" si="19"/>
        <v>49.666666666666664</v>
      </c>
      <c r="H406" t="str">
        <f t="shared" si="20"/>
        <v>C</v>
      </c>
    </row>
    <row r="407" spans="1:8" x14ac:dyDescent="0.3">
      <c r="A407">
        <v>506</v>
      </c>
      <c r="B407" t="s">
        <v>14</v>
      </c>
      <c r="C407">
        <v>100</v>
      </c>
      <c r="D407">
        <v>96</v>
      </c>
      <c r="E407">
        <v>77</v>
      </c>
      <c r="F407">
        <f t="shared" si="18"/>
        <v>273</v>
      </c>
      <c r="G407">
        <f t="shared" si="19"/>
        <v>91</v>
      </c>
      <c r="H407" t="str">
        <f t="shared" si="20"/>
        <v>A</v>
      </c>
    </row>
    <row r="408" spans="1:8" x14ac:dyDescent="0.3">
      <c r="A408">
        <v>507</v>
      </c>
      <c r="B408" t="s">
        <v>12</v>
      </c>
      <c r="C408">
        <v>74</v>
      </c>
      <c r="D408">
        <v>48</v>
      </c>
      <c r="E408">
        <v>36</v>
      </c>
      <c r="F408">
        <f t="shared" si="18"/>
        <v>158</v>
      </c>
      <c r="G408">
        <f t="shared" si="19"/>
        <v>52.666666666666664</v>
      </c>
      <c r="H408" t="str">
        <f t="shared" si="20"/>
        <v>C</v>
      </c>
    </row>
    <row r="409" spans="1:8" x14ac:dyDescent="0.3">
      <c r="A409">
        <v>508</v>
      </c>
      <c r="B409" t="s">
        <v>9</v>
      </c>
      <c r="C409">
        <v>30</v>
      </c>
      <c r="D409">
        <v>62</v>
      </c>
      <c r="E409">
        <v>81</v>
      </c>
      <c r="F409">
        <f t="shared" si="18"/>
        <v>173</v>
      </c>
      <c r="G409">
        <f t="shared" si="19"/>
        <v>57.666666666666664</v>
      </c>
      <c r="H409" t="str">
        <f t="shared" si="20"/>
        <v>C</v>
      </c>
    </row>
    <row r="410" spans="1:8" x14ac:dyDescent="0.3">
      <c r="A410">
        <v>509</v>
      </c>
      <c r="B410" t="s">
        <v>8</v>
      </c>
      <c r="C410">
        <v>54</v>
      </c>
      <c r="D410">
        <v>95</v>
      </c>
      <c r="E410">
        <v>52</v>
      </c>
      <c r="F410">
        <f t="shared" si="18"/>
        <v>201</v>
      </c>
      <c r="G410">
        <f t="shared" si="19"/>
        <v>67</v>
      </c>
      <c r="H410" t="str">
        <f t="shared" si="20"/>
        <v>B</v>
      </c>
    </row>
    <row r="411" spans="1:8" x14ac:dyDescent="0.3">
      <c r="A411">
        <v>510</v>
      </c>
      <c r="B411" t="s">
        <v>11</v>
      </c>
      <c r="C411">
        <v>59</v>
      </c>
      <c r="D411">
        <v>48</v>
      </c>
      <c r="E411">
        <v>31</v>
      </c>
      <c r="F411">
        <f t="shared" si="18"/>
        <v>138</v>
      </c>
      <c r="G411">
        <f t="shared" si="19"/>
        <v>46</v>
      </c>
      <c r="H411" t="str">
        <f t="shared" si="20"/>
        <v>C</v>
      </c>
    </row>
    <row r="412" spans="1:8" x14ac:dyDescent="0.3">
      <c r="A412">
        <v>511</v>
      </c>
      <c r="B412" t="s">
        <v>8</v>
      </c>
      <c r="C412">
        <v>94</v>
      </c>
      <c r="D412">
        <v>82</v>
      </c>
      <c r="E412">
        <v>44</v>
      </c>
      <c r="F412">
        <f t="shared" si="18"/>
        <v>220</v>
      </c>
      <c r="G412">
        <f t="shared" si="19"/>
        <v>73.333333333333329</v>
      </c>
      <c r="H412" t="str">
        <f t="shared" si="20"/>
        <v>B</v>
      </c>
    </row>
    <row r="413" spans="1:8" x14ac:dyDescent="0.3">
      <c r="A413">
        <v>512</v>
      </c>
      <c r="B413" t="s">
        <v>13</v>
      </c>
      <c r="C413">
        <v>60</v>
      </c>
      <c r="D413">
        <v>70</v>
      </c>
      <c r="E413">
        <v>79</v>
      </c>
      <c r="F413">
        <f t="shared" si="18"/>
        <v>209</v>
      </c>
      <c r="G413">
        <f t="shared" si="19"/>
        <v>69.666666666666671</v>
      </c>
      <c r="H413" t="str">
        <f t="shared" si="20"/>
        <v>B</v>
      </c>
    </row>
    <row r="414" spans="1:8" x14ac:dyDescent="0.3">
      <c r="A414">
        <v>513</v>
      </c>
      <c r="B414" t="s">
        <v>12</v>
      </c>
      <c r="C414">
        <v>91</v>
      </c>
      <c r="D414">
        <v>48</v>
      </c>
      <c r="E414">
        <v>99</v>
      </c>
      <c r="F414">
        <f t="shared" si="18"/>
        <v>238</v>
      </c>
      <c r="G414">
        <f t="shared" si="19"/>
        <v>79.333333333333329</v>
      </c>
      <c r="H414" t="str">
        <f t="shared" si="20"/>
        <v>B</v>
      </c>
    </row>
    <row r="415" spans="1:8" x14ac:dyDescent="0.3">
      <c r="A415">
        <v>514</v>
      </c>
      <c r="B415" t="s">
        <v>14</v>
      </c>
      <c r="C415">
        <v>57</v>
      </c>
      <c r="D415">
        <v>100</v>
      </c>
      <c r="E415">
        <v>99</v>
      </c>
      <c r="F415">
        <f t="shared" si="18"/>
        <v>256</v>
      </c>
      <c r="G415">
        <f t="shared" si="19"/>
        <v>85.333333333333329</v>
      </c>
      <c r="H415" t="str">
        <f t="shared" si="20"/>
        <v>A</v>
      </c>
    </row>
    <row r="416" spans="1:8" x14ac:dyDescent="0.3">
      <c r="A416">
        <v>515</v>
      </c>
      <c r="B416" t="s">
        <v>15</v>
      </c>
      <c r="C416">
        <v>96</v>
      </c>
      <c r="D416">
        <v>60</v>
      </c>
      <c r="E416">
        <v>92</v>
      </c>
      <c r="F416">
        <f t="shared" si="18"/>
        <v>248</v>
      </c>
      <c r="G416">
        <f t="shared" si="19"/>
        <v>82.666666666666671</v>
      </c>
      <c r="H416" t="str">
        <f t="shared" si="20"/>
        <v>A</v>
      </c>
    </row>
    <row r="417" spans="1:8" x14ac:dyDescent="0.3">
      <c r="A417">
        <v>516</v>
      </c>
      <c r="B417" t="s">
        <v>14</v>
      </c>
      <c r="C417">
        <v>77</v>
      </c>
      <c r="D417">
        <v>58</v>
      </c>
      <c r="E417">
        <v>86</v>
      </c>
      <c r="F417">
        <f t="shared" si="18"/>
        <v>221</v>
      </c>
      <c r="G417">
        <f t="shared" si="19"/>
        <v>73.666666666666671</v>
      </c>
      <c r="H417" t="str">
        <f t="shared" si="20"/>
        <v>B</v>
      </c>
    </row>
    <row r="418" spans="1:8" x14ac:dyDescent="0.3">
      <c r="A418">
        <v>517</v>
      </c>
      <c r="B418" t="s">
        <v>12</v>
      </c>
      <c r="C418">
        <v>70</v>
      </c>
      <c r="D418">
        <v>32</v>
      </c>
      <c r="E418">
        <v>60</v>
      </c>
      <c r="F418">
        <f t="shared" si="18"/>
        <v>162</v>
      </c>
      <c r="G418">
        <f t="shared" si="19"/>
        <v>54</v>
      </c>
      <c r="H418" t="str">
        <f t="shared" si="20"/>
        <v>C</v>
      </c>
    </row>
    <row r="419" spans="1:8" x14ac:dyDescent="0.3">
      <c r="A419">
        <v>518</v>
      </c>
      <c r="B419" t="s">
        <v>11</v>
      </c>
      <c r="C419">
        <v>100</v>
      </c>
      <c r="D419">
        <v>91</v>
      </c>
      <c r="E419">
        <v>75</v>
      </c>
      <c r="F419">
        <f t="shared" si="18"/>
        <v>266</v>
      </c>
      <c r="G419">
        <f t="shared" si="19"/>
        <v>88.666666666666671</v>
      </c>
      <c r="H419" t="str">
        <f t="shared" si="20"/>
        <v>A</v>
      </c>
    </row>
    <row r="420" spans="1:8" x14ac:dyDescent="0.3">
      <c r="A420">
        <v>519</v>
      </c>
      <c r="B420" t="s">
        <v>8</v>
      </c>
      <c r="C420">
        <v>97</v>
      </c>
      <c r="D420">
        <v>34</v>
      </c>
      <c r="E420">
        <v>74</v>
      </c>
      <c r="F420">
        <f t="shared" si="18"/>
        <v>205</v>
      </c>
      <c r="G420">
        <f t="shared" si="19"/>
        <v>68.333333333333329</v>
      </c>
      <c r="H420" t="str">
        <f t="shared" si="20"/>
        <v>B</v>
      </c>
    </row>
    <row r="421" spans="1:8" x14ac:dyDescent="0.3">
      <c r="A421">
        <v>520</v>
      </c>
      <c r="B421" t="s">
        <v>12</v>
      </c>
      <c r="C421">
        <v>59</v>
      </c>
      <c r="D421">
        <v>36</v>
      </c>
      <c r="E421">
        <v>46</v>
      </c>
      <c r="F421">
        <f t="shared" si="18"/>
        <v>141</v>
      </c>
      <c r="G421">
        <f t="shared" si="19"/>
        <v>47</v>
      </c>
      <c r="H421" t="str">
        <f t="shared" si="20"/>
        <v>C</v>
      </c>
    </row>
    <row r="422" spans="1:8" x14ac:dyDescent="0.3">
      <c r="A422">
        <v>521</v>
      </c>
      <c r="B422" t="s">
        <v>11</v>
      </c>
      <c r="C422">
        <v>84</v>
      </c>
      <c r="D422">
        <v>90</v>
      </c>
      <c r="E422">
        <v>78</v>
      </c>
      <c r="F422">
        <f t="shared" si="18"/>
        <v>252</v>
      </c>
      <c r="G422">
        <f t="shared" si="19"/>
        <v>84</v>
      </c>
      <c r="H422" t="str">
        <f t="shared" si="20"/>
        <v>A</v>
      </c>
    </row>
    <row r="423" spans="1:8" x14ac:dyDescent="0.3">
      <c r="A423">
        <v>522</v>
      </c>
      <c r="B423" t="s">
        <v>13</v>
      </c>
      <c r="C423">
        <v>43</v>
      </c>
      <c r="D423">
        <v>30</v>
      </c>
      <c r="E423">
        <v>80</v>
      </c>
      <c r="F423">
        <f t="shared" si="18"/>
        <v>153</v>
      </c>
      <c r="G423">
        <f t="shared" si="19"/>
        <v>51</v>
      </c>
      <c r="H423" t="str">
        <f t="shared" si="20"/>
        <v>C</v>
      </c>
    </row>
    <row r="424" spans="1:8" x14ac:dyDescent="0.3">
      <c r="A424">
        <v>523</v>
      </c>
      <c r="B424" t="s">
        <v>9</v>
      </c>
      <c r="C424">
        <v>61</v>
      </c>
      <c r="D424">
        <v>92</v>
      </c>
      <c r="E424">
        <v>66</v>
      </c>
      <c r="F424">
        <f t="shared" si="18"/>
        <v>219</v>
      </c>
      <c r="G424">
        <f t="shared" si="19"/>
        <v>73</v>
      </c>
      <c r="H424" t="str">
        <f t="shared" si="20"/>
        <v>B</v>
      </c>
    </row>
    <row r="425" spans="1:8" x14ac:dyDescent="0.3">
      <c r="A425">
        <v>524</v>
      </c>
      <c r="B425" t="s">
        <v>13</v>
      </c>
      <c r="C425">
        <v>96</v>
      </c>
      <c r="D425">
        <v>99</v>
      </c>
      <c r="E425">
        <v>39</v>
      </c>
      <c r="F425">
        <f t="shared" si="18"/>
        <v>234</v>
      </c>
      <c r="G425">
        <f t="shared" si="19"/>
        <v>78</v>
      </c>
      <c r="H425" t="str">
        <f t="shared" si="20"/>
        <v>B</v>
      </c>
    </row>
    <row r="426" spans="1:8" x14ac:dyDescent="0.3">
      <c r="A426">
        <v>525</v>
      </c>
      <c r="B426" t="s">
        <v>8</v>
      </c>
      <c r="C426">
        <v>31</v>
      </c>
      <c r="D426">
        <v>88</v>
      </c>
      <c r="E426">
        <v>37</v>
      </c>
      <c r="F426">
        <f t="shared" si="18"/>
        <v>156</v>
      </c>
      <c r="G426">
        <f t="shared" si="19"/>
        <v>52</v>
      </c>
      <c r="H426" t="str">
        <f t="shared" si="20"/>
        <v>C</v>
      </c>
    </row>
    <row r="427" spans="1:8" x14ac:dyDescent="0.3">
      <c r="A427">
        <v>526</v>
      </c>
      <c r="B427" t="s">
        <v>15</v>
      </c>
      <c r="C427">
        <v>63</v>
      </c>
      <c r="D427">
        <v>98</v>
      </c>
      <c r="E427">
        <v>57</v>
      </c>
      <c r="F427">
        <f t="shared" si="18"/>
        <v>218</v>
      </c>
      <c r="G427">
        <f t="shared" si="19"/>
        <v>72.666666666666671</v>
      </c>
      <c r="H427" t="str">
        <f t="shared" si="20"/>
        <v>B</v>
      </c>
    </row>
    <row r="428" spans="1:8" x14ac:dyDescent="0.3">
      <c r="A428">
        <v>527</v>
      </c>
      <c r="B428" t="s">
        <v>11</v>
      </c>
      <c r="C428">
        <v>78</v>
      </c>
      <c r="D428">
        <v>87</v>
      </c>
      <c r="E428">
        <v>72</v>
      </c>
      <c r="F428">
        <f t="shared" si="18"/>
        <v>237</v>
      </c>
      <c r="G428">
        <f t="shared" si="19"/>
        <v>79</v>
      </c>
      <c r="H428" t="str">
        <f t="shared" si="20"/>
        <v>B</v>
      </c>
    </row>
    <row r="429" spans="1:8" x14ac:dyDescent="0.3">
      <c r="A429">
        <v>528</v>
      </c>
      <c r="B429" t="s">
        <v>15</v>
      </c>
      <c r="C429">
        <v>65</v>
      </c>
      <c r="D429">
        <v>51</v>
      </c>
      <c r="E429">
        <v>82</v>
      </c>
      <c r="F429">
        <f t="shared" si="18"/>
        <v>198</v>
      </c>
      <c r="G429">
        <f t="shared" si="19"/>
        <v>66</v>
      </c>
      <c r="H429" t="str">
        <f t="shared" si="20"/>
        <v>B</v>
      </c>
    </row>
    <row r="430" spans="1:8" x14ac:dyDescent="0.3">
      <c r="A430">
        <v>529</v>
      </c>
      <c r="B430" t="s">
        <v>10</v>
      </c>
      <c r="C430">
        <v>53</v>
      </c>
      <c r="D430">
        <v>82</v>
      </c>
      <c r="E430">
        <v>99</v>
      </c>
      <c r="F430">
        <f t="shared" si="18"/>
        <v>234</v>
      </c>
      <c r="G430">
        <f t="shared" si="19"/>
        <v>78</v>
      </c>
      <c r="H430" t="str">
        <f t="shared" si="20"/>
        <v>B</v>
      </c>
    </row>
    <row r="431" spans="1:8" x14ac:dyDescent="0.3">
      <c r="A431">
        <v>530</v>
      </c>
      <c r="B431" t="s">
        <v>12</v>
      </c>
      <c r="C431">
        <v>88</v>
      </c>
      <c r="D431">
        <v>52</v>
      </c>
      <c r="E431">
        <v>56</v>
      </c>
      <c r="F431">
        <f t="shared" si="18"/>
        <v>196</v>
      </c>
      <c r="G431">
        <f t="shared" si="19"/>
        <v>65.333333333333329</v>
      </c>
      <c r="H431" t="str">
        <f t="shared" si="20"/>
        <v>B</v>
      </c>
    </row>
    <row r="432" spans="1:8" x14ac:dyDescent="0.3">
      <c r="A432">
        <v>531</v>
      </c>
      <c r="B432" t="s">
        <v>10</v>
      </c>
      <c r="C432">
        <v>38</v>
      </c>
      <c r="D432">
        <v>72</v>
      </c>
      <c r="E432">
        <v>48</v>
      </c>
      <c r="F432">
        <f t="shared" si="18"/>
        <v>158</v>
      </c>
      <c r="G432">
        <f t="shared" si="19"/>
        <v>52.666666666666664</v>
      </c>
      <c r="H432" t="str">
        <f t="shared" si="20"/>
        <v>C</v>
      </c>
    </row>
    <row r="433" spans="1:8" x14ac:dyDescent="0.3">
      <c r="A433">
        <v>532</v>
      </c>
      <c r="B433" t="s">
        <v>12</v>
      </c>
      <c r="C433">
        <v>92</v>
      </c>
      <c r="D433">
        <v>31</v>
      </c>
      <c r="E433">
        <v>80</v>
      </c>
      <c r="F433">
        <f t="shared" si="18"/>
        <v>203</v>
      </c>
      <c r="G433">
        <f t="shared" si="19"/>
        <v>67.666666666666671</v>
      </c>
      <c r="H433" t="str">
        <f t="shared" si="20"/>
        <v>B</v>
      </c>
    </row>
    <row r="434" spans="1:8" x14ac:dyDescent="0.3">
      <c r="A434">
        <v>533</v>
      </c>
      <c r="B434" t="s">
        <v>14</v>
      </c>
      <c r="C434">
        <v>69</v>
      </c>
      <c r="D434">
        <v>43</v>
      </c>
      <c r="E434">
        <v>58</v>
      </c>
      <c r="F434">
        <f t="shared" si="18"/>
        <v>170</v>
      </c>
      <c r="G434">
        <f t="shared" si="19"/>
        <v>56.666666666666664</v>
      </c>
      <c r="H434" t="str">
        <f t="shared" si="20"/>
        <v>C</v>
      </c>
    </row>
    <row r="435" spans="1:8" x14ac:dyDescent="0.3">
      <c r="A435">
        <v>534</v>
      </c>
      <c r="B435" t="s">
        <v>14</v>
      </c>
      <c r="C435">
        <v>85</v>
      </c>
      <c r="D435">
        <v>40</v>
      </c>
      <c r="E435">
        <v>32</v>
      </c>
      <c r="F435">
        <f t="shared" si="18"/>
        <v>157</v>
      </c>
      <c r="G435">
        <f t="shared" si="19"/>
        <v>52.333333333333336</v>
      </c>
      <c r="H435" t="str">
        <f t="shared" si="20"/>
        <v>C</v>
      </c>
    </row>
    <row r="436" spans="1:8" x14ac:dyDescent="0.3">
      <c r="A436">
        <v>535</v>
      </c>
      <c r="B436" t="s">
        <v>11</v>
      </c>
      <c r="C436">
        <v>65</v>
      </c>
      <c r="D436">
        <v>98</v>
      </c>
      <c r="E436">
        <v>31</v>
      </c>
      <c r="F436">
        <f t="shared" si="18"/>
        <v>194</v>
      </c>
      <c r="G436">
        <f t="shared" si="19"/>
        <v>64.666666666666671</v>
      </c>
      <c r="H436" t="str">
        <f t="shared" si="20"/>
        <v>B</v>
      </c>
    </row>
    <row r="437" spans="1:8" x14ac:dyDescent="0.3">
      <c r="A437">
        <v>536</v>
      </c>
      <c r="B437" t="s">
        <v>8</v>
      </c>
      <c r="C437">
        <v>47</v>
      </c>
      <c r="D437">
        <v>47</v>
      </c>
      <c r="E437">
        <v>52</v>
      </c>
      <c r="F437">
        <f t="shared" si="18"/>
        <v>146</v>
      </c>
      <c r="G437">
        <f t="shared" si="19"/>
        <v>48.666666666666664</v>
      </c>
      <c r="H437" t="str">
        <f t="shared" si="20"/>
        <v>C</v>
      </c>
    </row>
    <row r="438" spans="1:8" x14ac:dyDescent="0.3">
      <c r="A438">
        <v>537</v>
      </c>
      <c r="B438" t="s">
        <v>8</v>
      </c>
      <c r="C438">
        <v>62</v>
      </c>
      <c r="D438">
        <v>61</v>
      </c>
      <c r="E438">
        <v>87</v>
      </c>
      <c r="F438">
        <f t="shared" si="18"/>
        <v>210</v>
      </c>
      <c r="G438">
        <f t="shared" si="19"/>
        <v>70</v>
      </c>
      <c r="H438" t="str">
        <f t="shared" si="20"/>
        <v>B</v>
      </c>
    </row>
    <row r="439" spans="1:8" x14ac:dyDescent="0.3">
      <c r="A439">
        <v>538</v>
      </c>
      <c r="B439" t="s">
        <v>14</v>
      </c>
      <c r="C439">
        <v>84</v>
      </c>
      <c r="D439">
        <v>73</v>
      </c>
      <c r="E439">
        <v>89</v>
      </c>
      <c r="F439">
        <f t="shared" si="18"/>
        <v>246</v>
      </c>
      <c r="G439">
        <f t="shared" si="19"/>
        <v>82</v>
      </c>
      <c r="H439" t="str">
        <f t="shared" si="20"/>
        <v>A</v>
      </c>
    </row>
    <row r="440" spans="1:8" x14ac:dyDescent="0.3">
      <c r="A440">
        <v>539</v>
      </c>
      <c r="B440" t="s">
        <v>10</v>
      </c>
      <c r="C440">
        <v>35</v>
      </c>
      <c r="D440">
        <v>96</v>
      </c>
      <c r="E440">
        <v>66</v>
      </c>
      <c r="F440">
        <f t="shared" si="18"/>
        <v>197</v>
      </c>
      <c r="G440">
        <f t="shared" si="19"/>
        <v>65.666666666666671</v>
      </c>
      <c r="H440" t="str">
        <f t="shared" si="20"/>
        <v>B</v>
      </c>
    </row>
    <row r="441" spans="1:8" x14ac:dyDescent="0.3">
      <c r="A441">
        <v>540</v>
      </c>
      <c r="B441" t="s">
        <v>14</v>
      </c>
      <c r="C441">
        <v>92</v>
      </c>
      <c r="D441">
        <v>73</v>
      </c>
      <c r="E441">
        <v>86</v>
      </c>
      <c r="F441">
        <f t="shared" si="18"/>
        <v>251</v>
      </c>
      <c r="G441">
        <f t="shared" si="19"/>
        <v>83.666666666666671</v>
      </c>
      <c r="H441" t="str">
        <f t="shared" si="20"/>
        <v>A</v>
      </c>
    </row>
    <row r="442" spans="1:8" x14ac:dyDescent="0.3">
      <c r="A442">
        <v>541</v>
      </c>
      <c r="B442" t="s">
        <v>9</v>
      </c>
      <c r="C442">
        <v>70</v>
      </c>
      <c r="D442">
        <v>45</v>
      </c>
      <c r="E442">
        <v>35</v>
      </c>
      <c r="F442">
        <f t="shared" si="18"/>
        <v>150</v>
      </c>
      <c r="G442">
        <f t="shared" si="19"/>
        <v>50</v>
      </c>
      <c r="H442" t="str">
        <f t="shared" si="20"/>
        <v>C</v>
      </c>
    </row>
    <row r="443" spans="1:8" x14ac:dyDescent="0.3">
      <c r="A443">
        <v>542</v>
      </c>
      <c r="B443" t="s">
        <v>8</v>
      </c>
      <c r="C443">
        <v>55</v>
      </c>
      <c r="D443">
        <v>35</v>
      </c>
      <c r="E443">
        <v>65</v>
      </c>
      <c r="F443">
        <f t="shared" si="18"/>
        <v>155</v>
      </c>
      <c r="G443">
        <f t="shared" si="19"/>
        <v>51.666666666666664</v>
      </c>
      <c r="H443" t="str">
        <f t="shared" si="20"/>
        <v>C</v>
      </c>
    </row>
    <row r="444" spans="1:8" x14ac:dyDescent="0.3">
      <c r="A444">
        <v>543</v>
      </c>
      <c r="B444" t="s">
        <v>14</v>
      </c>
      <c r="C444">
        <v>82</v>
      </c>
      <c r="D444">
        <v>41</v>
      </c>
      <c r="E444">
        <v>58</v>
      </c>
      <c r="F444">
        <f t="shared" si="18"/>
        <v>181</v>
      </c>
      <c r="G444">
        <f t="shared" si="19"/>
        <v>60.333333333333336</v>
      </c>
      <c r="H444" t="str">
        <f t="shared" si="20"/>
        <v>B</v>
      </c>
    </row>
    <row r="445" spans="1:8" x14ac:dyDescent="0.3">
      <c r="A445">
        <v>544</v>
      </c>
      <c r="B445" t="s">
        <v>14</v>
      </c>
      <c r="C445">
        <v>89</v>
      </c>
      <c r="D445">
        <v>35</v>
      </c>
      <c r="E445">
        <v>91</v>
      </c>
      <c r="F445">
        <f t="shared" si="18"/>
        <v>215</v>
      </c>
      <c r="G445">
        <f t="shared" si="19"/>
        <v>71.666666666666671</v>
      </c>
      <c r="H445" t="str">
        <f t="shared" si="20"/>
        <v>B</v>
      </c>
    </row>
    <row r="446" spans="1:8" x14ac:dyDescent="0.3">
      <c r="A446">
        <v>545</v>
      </c>
      <c r="B446" t="s">
        <v>12</v>
      </c>
      <c r="C446">
        <v>90</v>
      </c>
      <c r="D446">
        <v>91</v>
      </c>
      <c r="E446">
        <v>42</v>
      </c>
      <c r="F446">
        <f t="shared" si="18"/>
        <v>223</v>
      </c>
      <c r="G446">
        <f t="shared" si="19"/>
        <v>74.333333333333329</v>
      </c>
      <c r="H446" t="str">
        <f t="shared" si="20"/>
        <v>B</v>
      </c>
    </row>
    <row r="447" spans="1:8" x14ac:dyDescent="0.3">
      <c r="A447">
        <v>546</v>
      </c>
      <c r="B447" t="s">
        <v>10</v>
      </c>
      <c r="C447">
        <v>43</v>
      </c>
      <c r="D447">
        <v>68</v>
      </c>
      <c r="E447">
        <v>69</v>
      </c>
      <c r="F447">
        <f t="shared" si="18"/>
        <v>180</v>
      </c>
      <c r="G447">
        <f t="shared" si="19"/>
        <v>60</v>
      </c>
      <c r="H447" t="str">
        <f t="shared" si="20"/>
        <v>B</v>
      </c>
    </row>
    <row r="448" spans="1:8" x14ac:dyDescent="0.3">
      <c r="A448">
        <v>547</v>
      </c>
      <c r="B448" t="s">
        <v>8</v>
      </c>
      <c r="C448">
        <v>37</v>
      </c>
      <c r="D448">
        <v>73</v>
      </c>
      <c r="E448">
        <v>47</v>
      </c>
      <c r="F448">
        <f t="shared" si="18"/>
        <v>157</v>
      </c>
      <c r="G448">
        <f t="shared" si="19"/>
        <v>52.333333333333336</v>
      </c>
      <c r="H448" t="str">
        <f t="shared" si="20"/>
        <v>C</v>
      </c>
    </row>
    <row r="449" spans="1:8" x14ac:dyDescent="0.3">
      <c r="A449">
        <v>548</v>
      </c>
      <c r="B449" t="s">
        <v>8</v>
      </c>
      <c r="C449">
        <v>32</v>
      </c>
      <c r="D449">
        <v>38</v>
      </c>
      <c r="E449">
        <v>32</v>
      </c>
      <c r="F449">
        <f t="shared" si="18"/>
        <v>102</v>
      </c>
      <c r="G449">
        <f t="shared" si="19"/>
        <v>34</v>
      </c>
      <c r="H449" t="str">
        <f t="shared" si="20"/>
        <v>F</v>
      </c>
    </row>
    <row r="450" spans="1:8" x14ac:dyDescent="0.3">
      <c r="A450">
        <v>549</v>
      </c>
      <c r="B450" t="s">
        <v>12</v>
      </c>
      <c r="C450">
        <v>53</v>
      </c>
      <c r="D450">
        <v>43</v>
      </c>
      <c r="E450">
        <v>74</v>
      </c>
      <c r="F450">
        <f t="shared" ref="F450:F501" si="21">SUM(C450:E450)</f>
        <v>170</v>
      </c>
      <c r="G450">
        <f t="shared" ref="G450:G501" si="22">F450/3</f>
        <v>56.666666666666664</v>
      </c>
      <c r="H450" t="str">
        <f t="shared" ref="H450:H501" si="23">IF(G450&gt;=80,"A",IF(G450&gt;=60,"B",IF(G450&gt;=40,"C","F")))</f>
        <v>C</v>
      </c>
    </row>
    <row r="451" spans="1:8" x14ac:dyDescent="0.3">
      <c r="A451">
        <v>550</v>
      </c>
      <c r="B451" t="s">
        <v>9</v>
      </c>
      <c r="C451">
        <v>90</v>
      </c>
      <c r="D451">
        <v>65</v>
      </c>
      <c r="E451">
        <v>34</v>
      </c>
      <c r="F451">
        <f t="shared" si="21"/>
        <v>189</v>
      </c>
      <c r="G451">
        <f t="shared" si="22"/>
        <v>63</v>
      </c>
      <c r="H451" t="str">
        <f t="shared" si="23"/>
        <v>B</v>
      </c>
    </row>
    <row r="452" spans="1:8" x14ac:dyDescent="0.3">
      <c r="A452">
        <v>551</v>
      </c>
      <c r="B452" t="s">
        <v>8</v>
      </c>
      <c r="C452">
        <v>46</v>
      </c>
      <c r="D452">
        <v>79</v>
      </c>
      <c r="E452">
        <v>75</v>
      </c>
      <c r="F452">
        <f t="shared" si="21"/>
        <v>200</v>
      </c>
      <c r="G452">
        <f t="shared" si="22"/>
        <v>66.666666666666671</v>
      </c>
      <c r="H452" t="str">
        <f t="shared" si="23"/>
        <v>B</v>
      </c>
    </row>
    <row r="453" spans="1:8" x14ac:dyDescent="0.3">
      <c r="A453">
        <v>552</v>
      </c>
      <c r="B453" t="s">
        <v>14</v>
      </c>
      <c r="C453">
        <v>78</v>
      </c>
      <c r="D453">
        <v>83</v>
      </c>
      <c r="E453">
        <v>34</v>
      </c>
      <c r="F453">
        <f t="shared" si="21"/>
        <v>195</v>
      </c>
      <c r="G453">
        <f t="shared" si="22"/>
        <v>65</v>
      </c>
      <c r="H453" t="str">
        <f t="shared" si="23"/>
        <v>B</v>
      </c>
    </row>
    <row r="454" spans="1:8" x14ac:dyDescent="0.3">
      <c r="A454">
        <v>553</v>
      </c>
      <c r="B454" t="s">
        <v>15</v>
      </c>
      <c r="C454">
        <v>60</v>
      </c>
      <c r="D454">
        <v>90</v>
      </c>
      <c r="E454">
        <v>41</v>
      </c>
      <c r="F454">
        <f t="shared" si="21"/>
        <v>191</v>
      </c>
      <c r="G454">
        <f t="shared" si="22"/>
        <v>63.666666666666664</v>
      </c>
      <c r="H454" t="str">
        <f t="shared" si="23"/>
        <v>B</v>
      </c>
    </row>
    <row r="455" spans="1:8" x14ac:dyDescent="0.3">
      <c r="A455">
        <v>554</v>
      </c>
      <c r="B455" t="s">
        <v>14</v>
      </c>
      <c r="C455">
        <v>66</v>
      </c>
      <c r="D455">
        <v>30</v>
      </c>
      <c r="E455">
        <v>85</v>
      </c>
      <c r="F455">
        <f t="shared" si="21"/>
        <v>181</v>
      </c>
      <c r="G455">
        <f t="shared" si="22"/>
        <v>60.333333333333336</v>
      </c>
      <c r="H455" t="str">
        <f t="shared" si="23"/>
        <v>B</v>
      </c>
    </row>
    <row r="456" spans="1:8" x14ac:dyDescent="0.3">
      <c r="A456">
        <v>555</v>
      </c>
      <c r="B456" t="s">
        <v>8</v>
      </c>
      <c r="C456">
        <v>31</v>
      </c>
      <c r="D456">
        <v>93</v>
      </c>
      <c r="E456">
        <v>58</v>
      </c>
      <c r="F456">
        <f t="shared" si="21"/>
        <v>182</v>
      </c>
      <c r="G456">
        <f t="shared" si="22"/>
        <v>60.666666666666664</v>
      </c>
      <c r="H456" t="str">
        <f t="shared" si="23"/>
        <v>B</v>
      </c>
    </row>
    <row r="457" spans="1:8" x14ac:dyDescent="0.3">
      <c r="A457">
        <v>556</v>
      </c>
      <c r="B457" t="s">
        <v>9</v>
      </c>
      <c r="C457">
        <v>48</v>
      </c>
      <c r="D457">
        <v>57</v>
      </c>
      <c r="E457">
        <v>66</v>
      </c>
      <c r="F457">
        <f t="shared" si="21"/>
        <v>171</v>
      </c>
      <c r="G457">
        <f t="shared" si="22"/>
        <v>57</v>
      </c>
      <c r="H457" t="str">
        <f t="shared" si="23"/>
        <v>C</v>
      </c>
    </row>
    <row r="458" spans="1:8" x14ac:dyDescent="0.3">
      <c r="A458">
        <v>557</v>
      </c>
      <c r="B458" t="s">
        <v>10</v>
      </c>
      <c r="C458">
        <v>87</v>
      </c>
      <c r="D458">
        <v>69</v>
      </c>
      <c r="E458">
        <v>50</v>
      </c>
      <c r="F458">
        <f t="shared" si="21"/>
        <v>206</v>
      </c>
      <c r="G458">
        <f t="shared" si="22"/>
        <v>68.666666666666671</v>
      </c>
      <c r="H458" t="str">
        <f t="shared" si="23"/>
        <v>B</v>
      </c>
    </row>
    <row r="459" spans="1:8" x14ac:dyDescent="0.3">
      <c r="A459">
        <v>558</v>
      </c>
      <c r="B459" t="s">
        <v>15</v>
      </c>
      <c r="C459">
        <v>42</v>
      </c>
      <c r="D459">
        <v>92</v>
      </c>
      <c r="E459">
        <v>32</v>
      </c>
      <c r="F459">
        <f t="shared" si="21"/>
        <v>166</v>
      </c>
      <c r="G459">
        <f t="shared" si="22"/>
        <v>55.333333333333336</v>
      </c>
      <c r="H459" t="str">
        <f t="shared" si="23"/>
        <v>C</v>
      </c>
    </row>
    <row r="460" spans="1:8" x14ac:dyDescent="0.3">
      <c r="A460">
        <v>559</v>
      </c>
      <c r="B460" t="s">
        <v>9</v>
      </c>
      <c r="C460">
        <v>71</v>
      </c>
      <c r="D460">
        <v>76</v>
      </c>
      <c r="E460">
        <v>56</v>
      </c>
      <c r="F460">
        <f t="shared" si="21"/>
        <v>203</v>
      </c>
      <c r="G460">
        <f t="shared" si="22"/>
        <v>67.666666666666671</v>
      </c>
      <c r="H460" t="str">
        <f t="shared" si="23"/>
        <v>B</v>
      </c>
    </row>
    <row r="461" spans="1:8" x14ac:dyDescent="0.3">
      <c r="A461">
        <v>560</v>
      </c>
      <c r="B461" t="s">
        <v>8</v>
      </c>
      <c r="C461">
        <v>56</v>
      </c>
      <c r="D461">
        <v>82</v>
      </c>
      <c r="E461">
        <v>47</v>
      </c>
      <c r="F461">
        <f t="shared" si="21"/>
        <v>185</v>
      </c>
      <c r="G461">
        <f t="shared" si="22"/>
        <v>61.666666666666664</v>
      </c>
      <c r="H461" t="str">
        <f t="shared" si="23"/>
        <v>B</v>
      </c>
    </row>
    <row r="462" spans="1:8" x14ac:dyDescent="0.3">
      <c r="A462">
        <v>561</v>
      </c>
      <c r="B462" t="s">
        <v>14</v>
      </c>
      <c r="C462">
        <v>58</v>
      </c>
      <c r="D462">
        <v>31</v>
      </c>
      <c r="E462">
        <v>64</v>
      </c>
      <c r="F462">
        <f t="shared" si="21"/>
        <v>153</v>
      </c>
      <c r="G462">
        <f t="shared" si="22"/>
        <v>51</v>
      </c>
      <c r="H462" t="str">
        <f t="shared" si="23"/>
        <v>C</v>
      </c>
    </row>
    <row r="463" spans="1:8" x14ac:dyDescent="0.3">
      <c r="A463">
        <v>562</v>
      </c>
      <c r="B463" t="s">
        <v>10</v>
      </c>
      <c r="C463">
        <v>48</v>
      </c>
      <c r="D463">
        <v>72</v>
      </c>
      <c r="E463">
        <v>36</v>
      </c>
      <c r="F463">
        <f t="shared" si="21"/>
        <v>156</v>
      </c>
      <c r="G463">
        <f t="shared" si="22"/>
        <v>52</v>
      </c>
      <c r="H463" t="str">
        <f t="shared" si="23"/>
        <v>C</v>
      </c>
    </row>
    <row r="464" spans="1:8" x14ac:dyDescent="0.3">
      <c r="A464">
        <v>563</v>
      </c>
      <c r="B464" t="s">
        <v>11</v>
      </c>
      <c r="C464">
        <v>35</v>
      </c>
      <c r="D464">
        <v>44</v>
      </c>
      <c r="E464">
        <v>69</v>
      </c>
      <c r="F464">
        <f t="shared" si="21"/>
        <v>148</v>
      </c>
      <c r="G464">
        <f t="shared" si="22"/>
        <v>49.333333333333336</v>
      </c>
      <c r="H464" t="str">
        <f t="shared" si="23"/>
        <v>C</v>
      </c>
    </row>
    <row r="465" spans="1:8" x14ac:dyDescent="0.3">
      <c r="A465">
        <v>564</v>
      </c>
      <c r="B465" t="s">
        <v>14</v>
      </c>
      <c r="C465">
        <v>69</v>
      </c>
      <c r="D465">
        <v>48</v>
      </c>
      <c r="E465">
        <v>98</v>
      </c>
      <c r="F465">
        <f t="shared" si="21"/>
        <v>215</v>
      </c>
      <c r="G465">
        <f t="shared" si="22"/>
        <v>71.666666666666671</v>
      </c>
      <c r="H465" t="str">
        <f t="shared" si="23"/>
        <v>B</v>
      </c>
    </row>
    <row r="466" spans="1:8" x14ac:dyDescent="0.3">
      <c r="A466">
        <v>565</v>
      </c>
      <c r="B466" t="s">
        <v>15</v>
      </c>
      <c r="C466">
        <v>56</v>
      </c>
      <c r="D466">
        <v>49</v>
      </c>
      <c r="E466">
        <v>70</v>
      </c>
      <c r="F466">
        <f t="shared" si="21"/>
        <v>175</v>
      </c>
      <c r="G466">
        <f t="shared" si="22"/>
        <v>58.333333333333336</v>
      </c>
      <c r="H466" t="str">
        <f t="shared" si="23"/>
        <v>C</v>
      </c>
    </row>
    <row r="467" spans="1:8" x14ac:dyDescent="0.3">
      <c r="A467">
        <v>566</v>
      </c>
      <c r="B467" t="s">
        <v>10</v>
      </c>
      <c r="C467">
        <v>62</v>
      </c>
      <c r="D467">
        <v>32</v>
      </c>
      <c r="E467">
        <v>92</v>
      </c>
      <c r="F467">
        <f t="shared" si="21"/>
        <v>186</v>
      </c>
      <c r="G467">
        <f t="shared" si="22"/>
        <v>62</v>
      </c>
      <c r="H467" t="str">
        <f t="shared" si="23"/>
        <v>B</v>
      </c>
    </row>
    <row r="468" spans="1:8" x14ac:dyDescent="0.3">
      <c r="A468">
        <v>567</v>
      </c>
      <c r="B468" t="s">
        <v>13</v>
      </c>
      <c r="C468">
        <v>89</v>
      </c>
      <c r="D468">
        <v>42</v>
      </c>
      <c r="E468">
        <v>82</v>
      </c>
      <c r="F468">
        <f t="shared" si="21"/>
        <v>213</v>
      </c>
      <c r="G468">
        <f t="shared" si="22"/>
        <v>71</v>
      </c>
      <c r="H468" t="str">
        <f t="shared" si="23"/>
        <v>B</v>
      </c>
    </row>
    <row r="469" spans="1:8" x14ac:dyDescent="0.3">
      <c r="A469">
        <v>568</v>
      </c>
      <c r="B469" t="s">
        <v>11</v>
      </c>
      <c r="C469">
        <v>46</v>
      </c>
      <c r="D469">
        <v>45</v>
      </c>
      <c r="E469">
        <v>81</v>
      </c>
      <c r="F469">
        <f t="shared" si="21"/>
        <v>172</v>
      </c>
      <c r="G469">
        <f t="shared" si="22"/>
        <v>57.333333333333336</v>
      </c>
      <c r="H469" t="str">
        <f t="shared" si="23"/>
        <v>C</v>
      </c>
    </row>
    <row r="470" spans="1:8" x14ac:dyDescent="0.3">
      <c r="A470">
        <v>569</v>
      </c>
      <c r="B470" t="s">
        <v>10</v>
      </c>
      <c r="C470">
        <v>54</v>
      </c>
      <c r="D470">
        <v>66</v>
      </c>
      <c r="E470">
        <v>35</v>
      </c>
      <c r="F470">
        <f t="shared" si="21"/>
        <v>155</v>
      </c>
      <c r="G470">
        <f t="shared" si="22"/>
        <v>51.666666666666664</v>
      </c>
      <c r="H470" t="str">
        <f t="shared" si="23"/>
        <v>C</v>
      </c>
    </row>
    <row r="471" spans="1:8" x14ac:dyDescent="0.3">
      <c r="A471">
        <v>570</v>
      </c>
      <c r="B471" t="s">
        <v>10</v>
      </c>
      <c r="C471">
        <v>97</v>
      </c>
      <c r="D471">
        <v>70</v>
      </c>
      <c r="E471">
        <v>91</v>
      </c>
      <c r="F471">
        <f t="shared" si="21"/>
        <v>258</v>
      </c>
      <c r="G471">
        <f t="shared" si="22"/>
        <v>86</v>
      </c>
      <c r="H471" t="str">
        <f t="shared" si="23"/>
        <v>A</v>
      </c>
    </row>
    <row r="472" spans="1:8" x14ac:dyDescent="0.3">
      <c r="A472">
        <v>571</v>
      </c>
      <c r="B472" t="s">
        <v>9</v>
      </c>
      <c r="C472">
        <v>76</v>
      </c>
      <c r="D472">
        <v>65</v>
      </c>
      <c r="E472">
        <v>74</v>
      </c>
      <c r="F472">
        <f t="shared" si="21"/>
        <v>215</v>
      </c>
      <c r="G472">
        <f t="shared" si="22"/>
        <v>71.666666666666671</v>
      </c>
      <c r="H472" t="str">
        <f t="shared" si="23"/>
        <v>B</v>
      </c>
    </row>
    <row r="473" spans="1:8" x14ac:dyDescent="0.3">
      <c r="A473">
        <v>572</v>
      </c>
      <c r="B473" t="s">
        <v>9</v>
      </c>
      <c r="C473">
        <v>80</v>
      </c>
      <c r="D473">
        <v>41</v>
      </c>
      <c r="E473">
        <v>53</v>
      </c>
      <c r="F473">
        <f t="shared" si="21"/>
        <v>174</v>
      </c>
      <c r="G473">
        <f t="shared" si="22"/>
        <v>58</v>
      </c>
      <c r="H473" t="str">
        <f t="shared" si="23"/>
        <v>C</v>
      </c>
    </row>
    <row r="474" spans="1:8" x14ac:dyDescent="0.3">
      <c r="A474">
        <v>573</v>
      </c>
      <c r="B474" t="s">
        <v>8</v>
      </c>
      <c r="C474">
        <v>54</v>
      </c>
      <c r="D474">
        <v>98</v>
      </c>
      <c r="E474">
        <v>51</v>
      </c>
      <c r="F474">
        <f t="shared" si="21"/>
        <v>203</v>
      </c>
      <c r="G474">
        <f t="shared" si="22"/>
        <v>67.666666666666671</v>
      </c>
      <c r="H474" t="str">
        <f t="shared" si="23"/>
        <v>B</v>
      </c>
    </row>
    <row r="475" spans="1:8" x14ac:dyDescent="0.3">
      <c r="A475">
        <v>574</v>
      </c>
      <c r="B475" t="s">
        <v>14</v>
      </c>
      <c r="C475">
        <v>91</v>
      </c>
      <c r="D475">
        <v>99</v>
      </c>
      <c r="E475">
        <v>40</v>
      </c>
      <c r="F475">
        <f t="shared" si="21"/>
        <v>230</v>
      </c>
      <c r="G475">
        <f t="shared" si="22"/>
        <v>76.666666666666671</v>
      </c>
      <c r="H475" t="str">
        <f t="shared" si="23"/>
        <v>B</v>
      </c>
    </row>
    <row r="476" spans="1:8" x14ac:dyDescent="0.3">
      <c r="A476">
        <v>575</v>
      </c>
      <c r="B476" t="s">
        <v>9</v>
      </c>
      <c r="C476">
        <v>35</v>
      </c>
      <c r="D476">
        <v>47</v>
      </c>
      <c r="E476">
        <v>50</v>
      </c>
      <c r="F476">
        <f t="shared" si="21"/>
        <v>132</v>
      </c>
      <c r="G476">
        <f t="shared" si="22"/>
        <v>44</v>
      </c>
      <c r="H476" t="str">
        <f t="shared" si="23"/>
        <v>C</v>
      </c>
    </row>
    <row r="477" spans="1:8" x14ac:dyDescent="0.3">
      <c r="A477">
        <v>576</v>
      </c>
      <c r="B477" t="s">
        <v>14</v>
      </c>
      <c r="C477">
        <v>69</v>
      </c>
      <c r="D477">
        <v>33</v>
      </c>
      <c r="E477">
        <v>59</v>
      </c>
      <c r="F477">
        <f t="shared" si="21"/>
        <v>161</v>
      </c>
      <c r="G477">
        <f t="shared" si="22"/>
        <v>53.666666666666664</v>
      </c>
      <c r="H477" t="str">
        <f t="shared" si="23"/>
        <v>C</v>
      </c>
    </row>
    <row r="478" spans="1:8" x14ac:dyDescent="0.3">
      <c r="A478">
        <v>577</v>
      </c>
      <c r="B478" t="s">
        <v>13</v>
      </c>
      <c r="C478">
        <v>34</v>
      </c>
      <c r="D478">
        <v>97</v>
      </c>
      <c r="E478">
        <v>66</v>
      </c>
      <c r="F478">
        <f t="shared" si="21"/>
        <v>197</v>
      </c>
      <c r="G478">
        <f t="shared" si="22"/>
        <v>65.666666666666671</v>
      </c>
      <c r="H478" t="str">
        <f t="shared" si="23"/>
        <v>B</v>
      </c>
    </row>
    <row r="479" spans="1:8" x14ac:dyDescent="0.3">
      <c r="A479">
        <v>578</v>
      </c>
      <c r="B479" t="s">
        <v>11</v>
      </c>
      <c r="C479">
        <v>48</v>
      </c>
      <c r="D479">
        <v>69</v>
      </c>
      <c r="E479">
        <v>89</v>
      </c>
      <c r="F479">
        <f t="shared" si="21"/>
        <v>206</v>
      </c>
      <c r="G479">
        <f t="shared" si="22"/>
        <v>68.666666666666671</v>
      </c>
      <c r="H479" t="str">
        <f t="shared" si="23"/>
        <v>B</v>
      </c>
    </row>
    <row r="480" spans="1:8" x14ac:dyDescent="0.3">
      <c r="A480">
        <v>579</v>
      </c>
      <c r="B480" t="s">
        <v>11</v>
      </c>
      <c r="C480">
        <v>70</v>
      </c>
      <c r="D480">
        <v>100</v>
      </c>
      <c r="E480">
        <v>53</v>
      </c>
      <c r="F480">
        <f t="shared" si="21"/>
        <v>223</v>
      </c>
      <c r="G480">
        <f t="shared" si="22"/>
        <v>74.333333333333329</v>
      </c>
      <c r="H480" t="str">
        <f t="shared" si="23"/>
        <v>B</v>
      </c>
    </row>
    <row r="481" spans="1:8" x14ac:dyDescent="0.3">
      <c r="A481">
        <v>580</v>
      </c>
      <c r="B481" t="s">
        <v>11</v>
      </c>
      <c r="C481">
        <v>75</v>
      </c>
      <c r="D481">
        <v>97</v>
      </c>
      <c r="E481">
        <v>39</v>
      </c>
      <c r="F481">
        <f t="shared" si="21"/>
        <v>211</v>
      </c>
      <c r="G481">
        <f t="shared" si="22"/>
        <v>70.333333333333329</v>
      </c>
      <c r="H481" t="str">
        <f t="shared" si="23"/>
        <v>B</v>
      </c>
    </row>
    <row r="482" spans="1:8" x14ac:dyDescent="0.3">
      <c r="A482">
        <v>581</v>
      </c>
      <c r="B482" t="s">
        <v>8</v>
      </c>
      <c r="C482">
        <v>86</v>
      </c>
      <c r="D482">
        <v>64</v>
      </c>
      <c r="E482">
        <v>74</v>
      </c>
      <c r="F482">
        <f t="shared" si="21"/>
        <v>224</v>
      </c>
      <c r="G482">
        <f t="shared" si="22"/>
        <v>74.666666666666671</v>
      </c>
      <c r="H482" t="str">
        <f t="shared" si="23"/>
        <v>B</v>
      </c>
    </row>
    <row r="483" spans="1:8" x14ac:dyDescent="0.3">
      <c r="A483">
        <v>582</v>
      </c>
      <c r="B483" t="s">
        <v>14</v>
      </c>
      <c r="C483">
        <v>73</v>
      </c>
      <c r="D483">
        <v>53</v>
      </c>
      <c r="E483">
        <v>83</v>
      </c>
      <c r="F483">
        <f t="shared" si="21"/>
        <v>209</v>
      </c>
      <c r="G483">
        <f t="shared" si="22"/>
        <v>69.666666666666671</v>
      </c>
      <c r="H483" t="str">
        <f t="shared" si="23"/>
        <v>B</v>
      </c>
    </row>
    <row r="484" spans="1:8" x14ac:dyDescent="0.3">
      <c r="A484">
        <v>583</v>
      </c>
      <c r="B484" t="s">
        <v>15</v>
      </c>
      <c r="C484">
        <v>92</v>
      </c>
      <c r="D484">
        <v>36</v>
      </c>
      <c r="E484">
        <v>74</v>
      </c>
      <c r="F484">
        <f t="shared" si="21"/>
        <v>202</v>
      </c>
      <c r="G484">
        <f t="shared" si="22"/>
        <v>67.333333333333329</v>
      </c>
      <c r="H484" t="str">
        <f t="shared" si="23"/>
        <v>B</v>
      </c>
    </row>
    <row r="485" spans="1:8" x14ac:dyDescent="0.3">
      <c r="A485">
        <v>584</v>
      </c>
      <c r="B485" t="s">
        <v>15</v>
      </c>
      <c r="C485">
        <v>71</v>
      </c>
      <c r="D485">
        <v>93</v>
      </c>
      <c r="E485">
        <v>34</v>
      </c>
      <c r="F485">
        <f t="shared" si="21"/>
        <v>198</v>
      </c>
      <c r="G485">
        <f t="shared" si="22"/>
        <v>66</v>
      </c>
      <c r="H485" t="str">
        <f t="shared" si="23"/>
        <v>B</v>
      </c>
    </row>
    <row r="486" spans="1:8" x14ac:dyDescent="0.3">
      <c r="A486">
        <v>585</v>
      </c>
      <c r="B486" t="s">
        <v>14</v>
      </c>
      <c r="C486">
        <v>69</v>
      </c>
      <c r="D486">
        <v>69</v>
      </c>
      <c r="E486">
        <v>85</v>
      </c>
      <c r="F486">
        <f t="shared" si="21"/>
        <v>223</v>
      </c>
      <c r="G486">
        <f t="shared" si="22"/>
        <v>74.333333333333329</v>
      </c>
      <c r="H486" t="str">
        <f t="shared" si="23"/>
        <v>B</v>
      </c>
    </row>
    <row r="487" spans="1:8" x14ac:dyDescent="0.3">
      <c r="A487">
        <v>586</v>
      </c>
      <c r="B487" t="s">
        <v>15</v>
      </c>
      <c r="C487">
        <v>82</v>
      </c>
      <c r="D487">
        <v>47</v>
      </c>
      <c r="E487">
        <v>94</v>
      </c>
      <c r="F487">
        <f t="shared" si="21"/>
        <v>223</v>
      </c>
      <c r="G487">
        <f t="shared" si="22"/>
        <v>74.333333333333329</v>
      </c>
      <c r="H487" t="str">
        <f t="shared" si="23"/>
        <v>B</v>
      </c>
    </row>
    <row r="488" spans="1:8" x14ac:dyDescent="0.3">
      <c r="A488">
        <v>587</v>
      </c>
      <c r="B488" t="s">
        <v>10</v>
      </c>
      <c r="C488">
        <v>76</v>
      </c>
      <c r="D488">
        <v>44</v>
      </c>
      <c r="E488">
        <v>82</v>
      </c>
      <c r="F488">
        <f t="shared" si="21"/>
        <v>202</v>
      </c>
      <c r="G488">
        <f t="shared" si="22"/>
        <v>67.333333333333329</v>
      </c>
      <c r="H488" t="str">
        <f t="shared" si="23"/>
        <v>B</v>
      </c>
    </row>
    <row r="489" spans="1:8" x14ac:dyDescent="0.3">
      <c r="A489">
        <v>588</v>
      </c>
      <c r="B489" t="s">
        <v>15</v>
      </c>
      <c r="C489">
        <v>86</v>
      </c>
      <c r="D489">
        <v>92</v>
      </c>
      <c r="E489">
        <v>33</v>
      </c>
      <c r="F489">
        <f t="shared" si="21"/>
        <v>211</v>
      </c>
      <c r="G489">
        <f t="shared" si="22"/>
        <v>70.333333333333329</v>
      </c>
      <c r="H489" t="str">
        <f t="shared" si="23"/>
        <v>B</v>
      </c>
    </row>
    <row r="490" spans="1:8" x14ac:dyDescent="0.3">
      <c r="A490">
        <v>589</v>
      </c>
      <c r="B490" t="s">
        <v>15</v>
      </c>
      <c r="C490">
        <v>47</v>
      </c>
      <c r="D490">
        <v>30</v>
      </c>
      <c r="E490">
        <v>35</v>
      </c>
      <c r="F490">
        <f t="shared" si="21"/>
        <v>112</v>
      </c>
      <c r="G490">
        <f t="shared" si="22"/>
        <v>37.333333333333336</v>
      </c>
      <c r="H490" t="str">
        <f t="shared" si="23"/>
        <v>F</v>
      </c>
    </row>
    <row r="491" spans="1:8" x14ac:dyDescent="0.3">
      <c r="A491">
        <v>590</v>
      </c>
      <c r="B491" t="s">
        <v>13</v>
      </c>
      <c r="C491">
        <v>44</v>
      </c>
      <c r="D491">
        <v>44</v>
      </c>
      <c r="E491">
        <v>83</v>
      </c>
      <c r="F491">
        <f t="shared" si="21"/>
        <v>171</v>
      </c>
      <c r="G491">
        <f t="shared" si="22"/>
        <v>57</v>
      </c>
      <c r="H491" t="str">
        <f t="shared" si="23"/>
        <v>C</v>
      </c>
    </row>
    <row r="492" spans="1:8" x14ac:dyDescent="0.3">
      <c r="A492">
        <v>591</v>
      </c>
      <c r="B492" t="s">
        <v>13</v>
      </c>
      <c r="C492">
        <v>72</v>
      </c>
      <c r="D492">
        <v>75</v>
      </c>
      <c r="E492">
        <v>67</v>
      </c>
      <c r="F492">
        <f t="shared" si="21"/>
        <v>214</v>
      </c>
      <c r="G492">
        <f t="shared" si="22"/>
        <v>71.333333333333329</v>
      </c>
      <c r="H492" t="str">
        <f t="shared" si="23"/>
        <v>B</v>
      </c>
    </row>
    <row r="493" spans="1:8" x14ac:dyDescent="0.3">
      <c r="A493">
        <v>592</v>
      </c>
      <c r="B493" t="s">
        <v>9</v>
      </c>
      <c r="C493">
        <v>38</v>
      </c>
      <c r="D493">
        <v>48</v>
      </c>
      <c r="E493">
        <v>53</v>
      </c>
      <c r="F493">
        <f t="shared" si="21"/>
        <v>139</v>
      </c>
      <c r="G493">
        <f t="shared" si="22"/>
        <v>46.333333333333336</v>
      </c>
      <c r="H493" t="str">
        <f t="shared" si="23"/>
        <v>C</v>
      </c>
    </row>
    <row r="494" spans="1:8" x14ac:dyDescent="0.3">
      <c r="A494">
        <v>593</v>
      </c>
      <c r="B494" t="s">
        <v>14</v>
      </c>
      <c r="C494">
        <v>90</v>
      </c>
      <c r="D494">
        <v>65</v>
      </c>
      <c r="E494">
        <v>82</v>
      </c>
      <c r="F494">
        <f t="shared" si="21"/>
        <v>237</v>
      </c>
      <c r="G494">
        <f t="shared" si="22"/>
        <v>79</v>
      </c>
      <c r="H494" t="str">
        <f t="shared" si="23"/>
        <v>B</v>
      </c>
    </row>
    <row r="495" spans="1:8" x14ac:dyDescent="0.3">
      <c r="A495">
        <v>594</v>
      </c>
      <c r="B495" t="s">
        <v>12</v>
      </c>
      <c r="C495">
        <v>59</v>
      </c>
      <c r="D495">
        <v>40</v>
      </c>
      <c r="E495">
        <v>96</v>
      </c>
      <c r="F495">
        <f t="shared" si="21"/>
        <v>195</v>
      </c>
      <c r="G495">
        <f t="shared" si="22"/>
        <v>65</v>
      </c>
      <c r="H495" t="str">
        <f t="shared" si="23"/>
        <v>B</v>
      </c>
    </row>
    <row r="496" spans="1:8" x14ac:dyDescent="0.3">
      <c r="A496">
        <v>595</v>
      </c>
      <c r="B496" t="s">
        <v>13</v>
      </c>
      <c r="C496">
        <v>46</v>
      </c>
      <c r="D496">
        <v>97</v>
      </c>
      <c r="E496">
        <v>35</v>
      </c>
      <c r="F496">
        <f t="shared" si="21"/>
        <v>178</v>
      </c>
      <c r="G496">
        <f t="shared" si="22"/>
        <v>59.333333333333336</v>
      </c>
      <c r="H496" t="str">
        <f t="shared" si="23"/>
        <v>C</v>
      </c>
    </row>
    <row r="497" spans="1:8" x14ac:dyDescent="0.3">
      <c r="A497">
        <v>596</v>
      </c>
      <c r="B497" t="s">
        <v>15</v>
      </c>
      <c r="C497">
        <v>53</v>
      </c>
      <c r="D497">
        <v>97</v>
      </c>
      <c r="E497">
        <v>67</v>
      </c>
      <c r="F497">
        <f t="shared" si="21"/>
        <v>217</v>
      </c>
      <c r="G497">
        <f t="shared" si="22"/>
        <v>72.333333333333329</v>
      </c>
      <c r="H497" t="str">
        <f t="shared" si="23"/>
        <v>B</v>
      </c>
    </row>
    <row r="498" spans="1:8" x14ac:dyDescent="0.3">
      <c r="A498">
        <v>597</v>
      </c>
      <c r="B498" t="s">
        <v>11</v>
      </c>
      <c r="C498">
        <v>32</v>
      </c>
      <c r="D498">
        <v>89</v>
      </c>
      <c r="E498">
        <v>34</v>
      </c>
      <c r="F498">
        <f t="shared" si="21"/>
        <v>155</v>
      </c>
      <c r="G498">
        <f t="shared" si="22"/>
        <v>51.666666666666664</v>
      </c>
      <c r="H498" t="str">
        <f t="shared" si="23"/>
        <v>C</v>
      </c>
    </row>
    <row r="499" spans="1:8" x14ac:dyDescent="0.3">
      <c r="A499">
        <v>598</v>
      </c>
      <c r="B499" t="s">
        <v>11</v>
      </c>
      <c r="C499">
        <v>67</v>
      </c>
      <c r="D499">
        <v>58</v>
      </c>
      <c r="E499">
        <v>78</v>
      </c>
      <c r="F499">
        <f t="shared" si="21"/>
        <v>203</v>
      </c>
      <c r="G499">
        <f t="shared" si="22"/>
        <v>67.666666666666671</v>
      </c>
      <c r="H499" t="str">
        <f t="shared" si="23"/>
        <v>B</v>
      </c>
    </row>
    <row r="500" spans="1:8" x14ac:dyDescent="0.3">
      <c r="A500">
        <v>599</v>
      </c>
      <c r="B500" t="s">
        <v>9</v>
      </c>
      <c r="C500">
        <v>46</v>
      </c>
      <c r="D500">
        <v>42</v>
      </c>
      <c r="E500">
        <v>97</v>
      </c>
      <c r="F500">
        <f t="shared" si="21"/>
        <v>185</v>
      </c>
      <c r="G500">
        <f t="shared" si="22"/>
        <v>61.666666666666664</v>
      </c>
      <c r="H500" t="str">
        <f t="shared" si="23"/>
        <v>B</v>
      </c>
    </row>
    <row r="501" spans="1:8" x14ac:dyDescent="0.3">
      <c r="A501">
        <v>600</v>
      </c>
      <c r="B501" t="s">
        <v>14</v>
      </c>
      <c r="C501">
        <v>34</v>
      </c>
      <c r="D501">
        <v>71</v>
      </c>
      <c r="E501">
        <v>54</v>
      </c>
      <c r="F501">
        <f t="shared" si="21"/>
        <v>159</v>
      </c>
      <c r="G501">
        <f t="shared" si="22"/>
        <v>53</v>
      </c>
      <c r="H501" t="str">
        <f t="shared" si="23"/>
        <v>C</v>
      </c>
    </row>
  </sheetData>
  <autoFilter ref="A1:H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17455-4AC3-4EB1-860E-AE7F01D8E702}">
  <dimension ref="A1:D18"/>
  <sheetViews>
    <sheetView workbookViewId="0">
      <selection sqref="A1:XFD1048576"/>
    </sheetView>
  </sheetViews>
  <sheetFormatPr defaultRowHeight="14.4" x14ac:dyDescent="0.3"/>
  <sheetData>
    <row r="1" spans="1:4" x14ac:dyDescent="0.3">
      <c r="A1" t="s">
        <v>16</v>
      </c>
    </row>
    <row r="2" spans="1:4" x14ac:dyDescent="0.3">
      <c r="A2" t="s">
        <v>17</v>
      </c>
    </row>
    <row r="3" spans="1:4" x14ac:dyDescent="0.3">
      <c r="A3" t="s">
        <v>18</v>
      </c>
    </row>
    <row r="4" spans="1:4" x14ac:dyDescent="0.3">
      <c r="A4" t="s">
        <v>18</v>
      </c>
    </row>
    <row r="5" spans="1:4" x14ac:dyDescent="0.3">
      <c r="A5" t="s">
        <v>19</v>
      </c>
    </row>
    <row r="6" spans="1:4" x14ac:dyDescent="0.3">
      <c r="A6" t="s">
        <v>20</v>
      </c>
    </row>
    <row r="7" spans="1:4" x14ac:dyDescent="0.3">
      <c r="A7" t="s">
        <v>21</v>
      </c>
    </row>
    <row r="8" spans="1:4" x14ac:dyDescent="0.3">
      <c r="A8" t="s">
        <v>22</v>
      </c>
    </row>
    <row r="9" spans="1:4" x14ac:dyDescent="0.3">
      <c r="A9" t="s">
        <v>23</v>
      </c>
    </row>
    <row r="10" spans="1:4" x14ac:dyDescent="0.3">
      <c r="A10" t="s">
        <v>24</v>
      </c>
    </row>
    <row r="11" spans="1:4" x14ac:dyDescent="0.3">
      <c r="A11" t="s">
        <v>25</v>
      </c>
      <c r="D11" t="s">
        <v>26</v>
      </c>
    </row>
    <row r="12" spans="1:4" x14ac:dyDescent="0.3">
      <c r="D12" t="s">
        <v>27</v>
      </c>
    </row>
    <row r="13" spans="1:4" x14ac:dyDescent="0.3">
      <c r="D13" t="s">
        <v>28</v>
      </c>
    </row>
    <row r="14" spans="1:4" x14ac:dyDescent="0.3">
      <c r="D14" t="s">
        <v>29</v>
      </c>
    </row>
    <row r="15" spans="1:4" x14ac:dyDescent="0.3">
      <c r="A15" t="s">
        <v>30</v>
      </c>
    </row>
    <row r="16" spans="1:4" x14ac:dyDescent="0.3">
      <c r="A16" t="s">
        <v>31</v>
      </c>
    </row>
    <row r="17" spans="1:1" x14ac:dyDescent="0.3">
      <c r="A17" t="s">
        <v>32</v>
      </c>
    </row>
    <row r="18" spans="1:1" x14ac:dyDescent="0.3">
      <c r="A18"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C76F-8FD9-4F05-8B09-42037BDB04C1}">
  <dimension ref="A1:P501"/>
  <sheetViews>
    <sheetView workbookViewId="0">
      <selection activeCell="J12" sqref="J12"/>
    </sheetView>
  </sheetViews>
  <sheetFormatPr defaultRowHeight="14.4" x14ac:dyDescent="0.3"/>
  <cols>
    <col min="5" max="5" width="9.33203125" customWidth="1"/>
    <col min="7" max="7" width="12.33203125" customWidth="1"/>
    <col min="9" max="9" width="11" customWidth="1"/>
    <col min="10" max="10" width="26.88671875" customWidth="1"/>
    <col min="11" max="11" width="7.5546875" bestFit="1" customWidth="1"/>
    <col min="12" max="13" width="26.88671875" customWidth="1"/>
    <col min="14" max="14" width="21.88671875" customWidth="1"/>
    <col min="15" max="16" width="34.33203125" customWidth="1"/>
  </cols>
  <sheetData>
    <row r="1" spans="1:16" x14ac:dyDescent="0.3">
      <c r="A1" s="1" t="s">
        <v>0</v>
      </c>
      <c r="B1" s="1" t="s">
        <v>1</v>
      </c>
      <c r="C1" s="1" t="s">
        <v>2</v>
      </c>
      <c r="D1" s="1" t="s">
        <v>3</v>
      </c>
      <c r="E1" s="1" t="s">
        <v>4</v>
      </c>
      <c r="F1" s="15" t="s">
        <v>5</v>
      </c>
      <c r="G1" s="14" t="s">
        <v>6</v>
      </c>
      <c r="H1" s="13" t="s">
        <v>7</v>
      </c>
      <c r="I1" s="12" t="s">
        <v>50</v>
      </c>
      <c r="J1" s="11" t="s">
        <v>51</v>
      </c>
      <c r="K1" s="11" t="s">
        <v>60</v>
      </c>
      <c r="L1" s="10" t="s">
        <v>52</v>
      </c>
      <c r="M1" s="5" t="s">
        <v>53</v>
      </c>
      <c r="N1" s="5" t="s">
        <v>54</v>
      </c>
      <c r="O1" s="5" t="s">
        <v>36</v>
      </c>
      <c r="P1" t="s">
        <v>58</v>
      </c>
    </row>
    <row r="2" spans="1:16" x14ac:dyDescent="0.3">
      <c r="A2">
        <v>101</v>
      </c>
      <c r="B2" t="s">
        <v>8</v>
      </c>
      <c r="C2">
        <v>93</v>
      </c>
      <c r="D2">
        <v>30</v>
      </c>
      <c r="E2">
        <v>90</v>
      </c>
      <c r="F2">
        <f t="shared" ref="F2:F65" si="0">SUM(C2:E2)</f>
        <v>213</v>
      </c>
      <c r="G2" s="16">
        <f t="shared" ref="G2:G65" si="1">F2/3</f>
        <v>71</v>
      </c>
      <c r="H2" t="str">
        <f>IF(Table1[[#This Row],[Percentage]]&gt;=80,"A",IF(Table1[[#This Row],[Percentage]]&gt;=60,"B",IF(Table1[[#This Row],[Percentage]]&gt;=40,"C","F")))</f>
        <v>B</v>
      </c>
      <c r="I2" t="str">
        <f>IF(AVERAGE(C2:E2)&gt;=40,"Pass","Fail")</f>
        <v>Pass</v>
      </c>
      <c r="J2" t="str">
        <f>IF(G2&gt;AVERAGE($G$2:$G$501),"Above Avg","Below Avg")</f>
        <v>Above Avg</v>
      </c>
      <c r="K2">
        <f>RANK(Table1[[#This Row],[Total]],Table1[Total],0)</f>
        <v>144</v>
      </c>
      <c r="L2" t="str">
        <f>IF(G2&gt;=75,"Yes","No")</f>
        <v>No</v>
      </c>
      <c r="M2" s="3">
        <f>COUNTIF(I2:I501,"Pass")</f>
        <v>495</v>
      </c>
      <c r="N2" s="3">
        <f>COUNTIF(I2:I501,"Fail")</f>
        <v>5</v>
      </c>
      <c r="O2" s="3">
        <f>RANK(F2,$F$2:$F$501,0)</f>
        <v>144</v>
      </c>
    </row>
    <row r="3" spans="1:16" x14ac:dyDescent="0.3">
      <c r="A3">
        <v>102</v>
      </c>
      <c r="B3" t="s">
        <v>9</v>
      </c>
      <c r="C3">
        <v>72</v>
      </c>
      <c r="D3">
        <v>40</v>
      </c>
      <c r="E3">
        <v>61</v>
      </c>
      <c r="F3">
        <f t="shared" si="0"/>
        <v>173</v>
      </c>
      <c r="G3">
        <f t="shared" si="1"/>
        <v>57.666666666666664</v>
      </c>
      <c r="H3" t="str">
        <f>IF(Table1[[#This Row],[Percentage]]&gt;=80,"A",IF(Table1[[#This Row],[Percentage]]&gt;=60,"B",IF(Table1[[#This Row],[Percentage]]&gt;=40,"C","F")))</f>
        <v>C</v>
      </c>
      <c r="I3" t="str">
        <f t="shared" ref="I3:I66" si="2">IF(AVERAGE(C3:E3)&gt;=40,"Pass","Fail")</f>
        <v>Pass</v>
      </c>
      <c r="J3" t="str">
        <f t="shared" ref="J3:J66" si="3">IF(G3&gt;AVERAGE($G$2:$G$501),"Above Avg","Below Avg")</f>
        <v>Below Avg</v>
      </c>
      <c r="K3">
        <f>RANK(Table1[[#This Row],[Total]],Table1[Total],0)</f>
        <v>346</v>
      </c>
      <c r="L3" t="str">
        <f t="shared" ref="L3:L66" si="4">IF(G3&gt;=75,"Yes","No")</f>
        <v>No</v>
      </c>
    </row>
    <row r="4" spans="1:16" x14ac:dyDescent="0.3">
      <c r="A4">
        <v>103</v>
      </c>
      <c r="B4" t="s">
        <v>10</v>
      </c>
      <c r="C4">
        <v>98</v>
      </c>
      <c r="D4">
        <v>53</v>
      </c>
      <c r="E4">
        <v>45</v>
      </c>
      <c r="F4">
        <f t="shared" si="0"/>
        <v>196</v>
      </c>
      <c r="G4">
        <f t="shared" si="1"/>
        <v>65.333333333333329</v>
      </c>
      <c r="H4" t="str">
        <f>IF(Table1[[#This Row],[Percentage]]&gt;=80,"A",IF(Table1[[#This Row],[Percentage]]&gt;=60,"B",IF(Table1[[#This Row],[Percentage]]&gt;=40,"C","F")))</f>
        <v>B</v>
      </c>
      <c r="I4" t="str">
        <f t="shared" si="2"/>
        <v>Pass</v>
      </c>
      <c r="J4" t="str">
        <f t="shared" si="3"/>
        <v>Above Avg</v>
      </c>
      <c r="K4">
        <f>RANK(Table1[[#This Row],[Total]],Table1[Total],0)</f>
        <v>235</v>
      </c>
      <c r="L4" t="str">
        <f t="shared" si="4"/>
        <v>No</v>
      </c>
    </row>
    <row r="5" spans="1:16" x14ac:dyDescent="0.3">
      <c r="A5">
        <v>104</v>
      </c>
      <c r="B5" t="s">
        <v>11</v>
      </c>
      <c r="C5">
        <v>97</v>
      </c>
      <c r="D5">
        <v>82</v>
      </c>
      <c r="E5">
        <v>82</v>
      </c>
      <c r="F5">
        <f t="shared" si="0"/>
        <v>261</v>
      </c>
      <c r="G5">
        <f t="shared" si="1"/>
        <v>87</v>
      </c>
      <c r="H5" t="str">
        <f>IF(Table1[[#This Row],[Percentage]]&gt;=80,"A",IF(Table1[[#This Row],[Percentage]]&gt;=60,"B",IF(Table1[[#This Row],[Percentage]]&gt;=40,"C","F")))</f>
        <v>A</v>
      </c>
      <c r="I5" t="str">
        <f t="shared" si="2"/>
        <v>Pass</v>
      </c>
      <c r="J5" t="str">
        <f t="shared" si="3"/>
        <v>Above Avg</v>
      </c>
      <c r="K5">
        <f>RANK(Table1[[#This Row],[Total]],Table1[Total],0)</f>
        <v>14</v>
      </c>
      <c r="L5" t="str">
        <f t="shared" si="4"/>
        <v>Yes</v>
      </c>
      <c r="M5" s="9" t="s">
        <v>34</v>
      </c>
      <c r="N5" s="3"/>
    </row>
    <row r="6" spans="1:16" x14ac:dyDescent="0.3">
      <c r="A6">
        <v>105</v>
      </c>
      <c r="B6" t="s">
        <v>9</v>
      </c>
      <c r="C6">
        <v>85</v>
      </c>
      <c r="D6">
        <v>39</v>
      </c>
      <c r="E6">
        <v>63</v>
      </c>
      <c r="F6">
        <f t="shared" si="0"/>
        <v>187</v>
      </c>
      <c r="G6">
        <f t="shared" si="1"/>
        <v>62.333333333333336</v>
      </c>
      <c r="H6" t="str">
        <f>IF(Table1[[#This Row],[Percentage]]&gt;=80,"A",IF(Table1[[#This Row],[Percentage]]&gt;=60,"B",IF(Table1[[#This Row],[Percentage]]&gt;=40,"C","F")))</f>
        <v>B</v>
      </c>
      <c r="I6" t="str">
        <f t="shared" si="2"/>
        <v>Pass</v>
      </c>
      <c r="J6" t="str">
        <f>IF(G6&gt;AVERAGE($G$2:$G$501),"Above Avg","Below Avg")</f>
        <v>Below Avg</v>
      </c>
      <c r="K6">
        <f>RANK(Table1[[#This Row],[Total]],Table1[Total],0)</f>
        <v>281</v>
      </c>
      <c r="L6" t="str">
        <f t="shared" si="4"/>
        <v>No</v>
      </c>
      <c r="M6" s="2" t="s">
        <v>2</v>
      </c>
      <c r="N6" s="3">
        <f>MAX(C2:C501)</f>
        <v>100</v>
      </c>
    </row>
    <row r="7" spans="1:16" x14ac:dyDescent="0.3">
      <c r="A7">
        <v>106</v>
      </c>
      <c r="B7" t="s">
        <v>12</v>
      </c>
      <c r="C7">
        <v>72</v>
      </c>
      <c r="D7">
        <v>62</v>
      </c>
      <c r="E7">
        <v>87</v>
      </c>
      <c r="F7">
        <f t="shared" si="0"/>
        <v>221</v>
      </c>
      <c r="G7">
        <f t="shared" si="1"/>
        <v>73.666666666666671</v>
      </c>
      <c r="H7" t="str">
        <f>IF(Table1[[#This Row],[Percentage]]&gt;=80,"A",IF(Table1[[#This Row],[Percentage]]&gt;=60,"B",IF(Table1[[#This Row],[Percentage]]&gt;=40,"C","F")))</f>
        <v>B</v>
      </c>
      <c r="I7" t="str">
        <f t="shared" si="2"/>
        <v>Pass</v>
      </c>
      <c r="J7" t="str">
        <f t="shared" si="3"/>
        <v>Above Avg</v>
      </c>
      <c r="K7">
        <f>RANK(Table1[[#This Row],[Total]],Table1[Total],0)</f>
        <v>109</v>
      </c>
      <c r="L7" t="str">
        <f t="shared" si="4"/>
        <v>No</v>
      </c>
      <c r="M7" s="2" t="s">
        <v>3</v>
      </c>
      <c r="N7" s="3">
        <f>MAX(D2:D501)</f>
        <v>100</v>
      </c>
    </row>
    <row r="8" spans="1:16" x14ac:dyDescent="0.3">
      <c r="A8">
        <v>107</v>
      </c>
      <c r="B8" t="s">
        <v>8</v>
      </c>
      <c r="C8">
        <v>57</v>
      </c>
      <c r="D8">
        <v>92</v>
      </c>
      <c r="E8">
        <v>30</v>
      </c>
      <c r="F8">
        <f t="shared" si="0"/>
        <v>179</v>
      </c>
      <c r="G8">
        <f t="shared" si="1"/>
        <v>59.666666666666664</v>
      </c>
      <c r="H8" t="str">
        <f>IF(Table1[[#This Row],[Percentage]]&gt;=80,"A",IF(Table1[[#This Row],[Percentage]]&gt;=60,"B",IF(Table1[[#This Row],[Percentage]]&gt;=40,"C","F")))</f>
        <v>C</v>
      </c>
      <c r="I8" t="str">
        <f t="shared" si="2"/>
        <v>Pass</v>
      </c>
      <c r="J8" t="str">
        <f t="shared" si="3"/>
        <v>Below Avg</v>
      </c>
      <c r="K8">
        <f>RANK(Table1[[#This Row],[Total]],Table1[Total],0)</f>
        <v>322</v>
      </c>
      <c r="L8" t="str">
        <f t="shared" si="4"/>
        <v>No</v>
      </c>
      <c r="M8" s="2" t="s">
        <v>4</v>
      </c>
      <c r="N8" s="3">
        <f>MAX(E2:E501)</f>
        <v>100</v>
      </c>
    </row>
    <row r="9" spans="1:16" x14ac:dyDescent="0.3">
      <c r="A9">
        <v>108</v>
      </c>
      <c r="B9" t="s">
        <v>9</v>
      </c>
      <c r="C9">
        <v>68</v>
      </c>
      <c r="D9">
        <v>64</v>
      </c>
      <c r="E9">
        <v>92</v>
      </c>
      <c r="F9">
        <f t="shared" si="0"/>
        <v>224</v>
      </c>
      <c r="G9">
        <f t="shared" si="1"/>
        <v>74.666666666666671</v>
      </c>
      <c r="H9" t="str">
        <f>IF(Table1[[#This Row],[Percentage]]&gt;=80,"A",IF(Table1[[#This Row],[Percentage]]&gt;=60,"B",IF(Table1[[#This Row],[Percentage]]&gt;=40,"C","F")))</f>
        <v>B</v>
      </c>
      <c r="I9" t="str">
        <f t="shared" si="2"/>
        <v>Pass</v>
      </c>
      <c r="J9" t="str">
        <f t="shared" si="3"/>
        <v>Above Avg</v>
      </c>
      <c r="K9">
        <f>RANK(Table1[[#This Row],[Total]],Table1[Total],0)</f>
        <v>96</v>
      </c>
      <c r="L9" t="str">
        <f t="shared" si="4"/>
        <v>No</v>
      </c>
      <c r="M9" s="3"/>
      <c r="N9" s="3"/>
    </row>
    <row r="10" spans="1:16" x14ac:dyDescent="0.3">
      <c r="A10">
        <v>109</v>
      </c>
      <c r="B10" t="s">
        <v>10</v>
      </c>
      <c r="C10">
        <v>59</v>
      </c>
      <c r="D10">
        <v>74</v>
      </c>
      <c r="E10">
        <v>72</v>
      </c>
      <c r="F10">
        <f t="shared" si="0"/>
        <v>205</v>
      </c>
      <c r="G10">
        <f t="shared" si="1"/>
        <v>68.333333333333329</v>
      </c>
      <c r="H10" t="str">
        <f>IF(Table1[[#This Row],[Percentage]]&gt;=80,"A",IF(Table1[[#This Row],[Percentage]]&gt;=60,"B",IF(Table1[[#This Row],[Percentage]]&gt;=40,"C","F")))</f>
        <v>B</v>
      </c>
      <c r="I10" t="str">
        <f t="shared" si="2"/>
        <v>Pass</v>
      </c>
      <c r="J10" t="str">
        <f t="shared" si="3"/>
        <v>Above Avg</v>
      </c>
      <c r="K10">
        <f>RANK(Table1[[#This Row],[Total]],Table1[Total],0)</f>
        <v>188</v>
      </c>
      <c r="L10" t="str">
        <f t="shared" si="4"/>
        <v>No</v>
      </c>
      <c r="M10" s="5" t="s">
        <v>55</v>
      </c>
      <c r="N10" s="3"/>
    </row>
    <row r="11" spans="1:16" x14ac:dyDescent="0.3">
      <c r="A11">
        <v>110</v>
      </c>
      <c r="B11" t="s">
        <v>13</v>
      </c>
      <c r="C11">
        <v>42</v>
      </c>
      <c r="D11">
        <v>86</v>
      </c>
      <c r="E11">
        <v>95</v>
      </c>
      <c r="F11">
        <f t="shared" si="0"/>
        <v>223</v>
      </c>
      <c r="G11">
        <f t="shared" si="1"/>
        <v>74.333333333333329</v>
      </c>
      <c r="H11" t="str">
        <f>IF(Table1[[#This Row],[Percentage]]&gt;=80,"A",IF(Table1[[#This Row],[Percentage]]&gt;=60,"B",IF(Table1[[#This Row],[Percentage]]&gt;=40,"C","F")))</f>
        <v>B</v>
      </c>
      <c r="I11" t="str">
        <f t="shared" si="2"/>
        <v>Pass</v>
      </c>
      <c r="J11" t="str">
        <f t="shared" si="3"/>
        <v>Above Avg</v>
      </c>
      <c r="K11">
        <f>RANK(Table1[[#This Row],[Total]],Table1[Total],0)</f>
        <v>98</v>
      </c>
      <c r="L11" t="str">
        <f t="shared" si="4"/>
        <v>No</v>
      </c>
      <c r="M11" s="4" t="s">
        <v>2</v>
      </c>
      <c r="N11" s="3">
        <f>MIN(C2:C501)</f>
        <v>30</v>
      </c>
    </row>
    <row r="12" spans="1:16" x14ac:dyDescent="0.3">
      <c r="A12">
        <v>111</v>
      </c>
      <c r="B12" t="s">
        <v>9</v>
      </c>
      <c r="C12">
        <v>68</v>
      </c>
      <c r="D12">
        <v>75</v>
      </c>
      <c r="E12">
        <v>95</v>
      </c>
      <c r="F12">
        <f t="shared" si="0"/>
        <v>238</v>
      </c>
      <c r="G12">
        <f t="shared" si="1"/>
        <v>79.333333333333329</v>
      </c>
      <c r="H12" t="str">
        <f>IF(Table1[[#This Row],[Percentage]]&gt;=80,"A",IF(Table1[[#This Row],[Percentage]]&gt;=60,"B",IF(Table1[[#This Row],[Percentage]]&gt;=40,"C","F")))</f>
        <v>B</v>
      </c>
      <c r="I12" t="str">
        <f t="shared" si="2"/>
        <v>Pass</v>
      </c>
      <c r="J12" t="str">
        <f t="shared" si="3"/>
        <v>Above Avg</v>
      </c>
      <c r="K12">
        <f>RANK(Table1[[#This Row],[Total]],Table1[Total],0)</f>
        <v>53</v>
      </c>
      <c r="L12" t="str">
        <f t="shared" si="4"/>
        <v>Yes</v>
      </c>
      <c r="M12" s="4" t="s">
        <v>3</v>
      </c>
      <c r="N12" s="3">
        <f>MIN(D2:D501)</f>
        <v>30</v>
      </c>
    </row>
    <row r="13" spans="1:16" x14ac:dyDescent="0.3">
      <c r="A13">
        <v>112</v>
      </c>
      <c r="B13" t="s">
        <v>10</v>
      </c>
      <c r="C13">
        <v>67</v>
      </c>
      <c r="D13">
        <v>84</v>
      </c>
      <c r="E13">
        <v>65</v>
      </c>
      <c r="F13">
        <f t="shared" si="0"/>
        <v>216</v>
      </c>
      <c r="G13">
        <f t="shared" si="1"/>
        <v>72</v>
      </c>
      <c r="H13" t="str">
        <f>IF(Table1[[#This Row],[Percentage]]&gt;=80,"A",IF(Table1[[#This Row],[Percentage]]&gt;=60,"B",IF(Table1[[#This Row],[Percentage]]&gt;=40,"C","F")))</f>
        <v>B</v>
      </c>
      <c r="I13" t="str">
        <f t="shared" si="2"/>
        <v>Pass</v>
      </c>
      <c r="J13" t="str">
        <f t="shared" si="3"/>
        <v>Above Avg</v>
      </c>
      <c r="K13">
        <f>RANK(Table1[[#This Row],[Total]],Table1[Total],0)</f>
        <v>130</v>
      </c>
      <c r="L13" t="str">
        <f t="shared" si="4"/>
        <v>No</v>
      </c>
      <c r="M13" s="4" t="s">
        <v>4</v>
      </c>
      <c r="N13" s="3">
        <f>MIN(E2:E501)</f>
        <v>30</v>
      </c>
    </row>
    <row r="14" spans="1:16" x14ac:dyDescent="0.3">
      <c r="A14">
        <v>113</v>
      </c>
      <c r="B14" t="s">
        <v>11</v>
      </c>
      <c r="C14">
        <v>88</v>
      </c>
      <c r="D14">
        <v>87</v>
      </c>
      <c r="E14">
        <v>30</v>
      </c>
      <c r="F14">
        <f t="shared" si="0"/>
        <v>205</v>
      </c>
      <c r="G14">
        <f t="shared" si="1"/>
        <v>68.333333333333329</v>
      </c>
      <c r="H14" t="str">
        <f>IF(Table1[[#This Row],[Percentage]]&gt;=80,"A",IF(Table1[[#This Row],[Percentage]]&gt;=60,"B",IF(Table1[[#This Row],[Percentage]]&gt;=40,"C","F")))</f>
        <v>B</v>
      </c>
      <c r="I14" t="str">
        <f t="shared" si="2"/>
        <v>Pass</v>
      </c>
      <c r="J14" t="str">
        <f t="shared" si="3"/>
        <v>Above Avg</v>
      </c>
      <c r="K14">
        <f>RANK(Table1[[#This Row],[Total]],Table1[Total],0)</f>
        <v>188</v>
      </c>
      <c r="L14" t="str">
        <f t="shared" si="4"/>
        <v>No</v>
      </c>
    </row>
    <row r="15" spans="1:16" x14ac:dyDescent="0.3">
      <c r="A15">
        <v>114</v>
      </c>
      <c r="B15" t="s">
        <v>14</v>
      </c>
      <c r="C15">
        <v>30</v>
      </c>
      <c r="D15">
        <v>45</v>
      </c>
      <c r="E15">
        <v>65</v>
      </c>
      <c r="F15">
        <f t="shared" si="0"/>
        <v>140</v>
      </c>
      <c r="G15">
        <f t="shared" si="1"/>
        <v>46.666666666666664</v>
      </c>
      <c r="H15" t="str">
        <f>IF(Table1[[#This Row],[Percentage]]&gt;=80,"A",IF(Table1[[#This Row],[Percentage]]&gt;=60,"B",IF(Table1[[#This Row],[Percentage]]&gt;=40,"C","F")))</f>
        <v>C</v>
      </c>
      <c r="I15" t="str">
        <f t="shared" si="2"/>
        <v>Pass</v>
      </c>
      <c r="J15" t="str">
        <f t="shared" si="3"/>
        <v>Below Avg</v>
      </c>
      <c r="K15">
        <f>RANK(Table1[[#This Row],[Total]],Table1[Total],0)</f>
        <v>468</v>
      </c>
      <c r="L15" t="str">
        <f t="shared" si="4"/>
        <v>No</v>
      </c>
      <c r="M15" s="5" t="s">
        <v>35</v>
      </c>
      <c r="N15" s="3"/>
    </row>
    <row r="16" spans="1:16" x14ac:dyDescent="0.3">
      <c r="A16">
        <v>115</v>
      </c>
      <c r="B16" t="s">
        <v>12</v>
      </c>
      <c r="C16">
        <v>100</v>
      </c>
      <c r="D16">
        <v>94</v>
      </c>
      <c r="E16">
        <v>50</v>
      </c>
      <c r="F16">
        <f t="shared" si="0"/>
        <v>244</v>
      </c>
      <c r="G16">
        <f t="shared" si="1"/>
        <v>81.333333333333329</v>
      </c>
      <c r="H16" t="str">
        <f>IF(Table1[[#This Row],[Percentage]]&gt;=80,"A",IF(Table1[[#This Row],[Percentage]]&gt;=60,"B",IF(Table1[[#This Row],[Percentage]]&gt;=40,"C","F")))</f>
        <v>A</v>
      </c>
      <c r="I16" t="str">
        <f t="shared" si="2"/>
        <v>Pass</v>
      </c>
      <c r="J16" t="str">
        <f t="shared" si="3"/>
        <v>Above Avg</v>
      </c>
      <c r="K16">
        <f>RANK(Table1[[#This Row],[Total]],Table1[Total],0)</f>
        <v>44</v>
      </c>
      <c r="L16" t="str">
        <f t="shared" si="4"/>
        <v>Yes</v>
      </c>
      <c r="M16" s="4" t="s">
        <v>2</v>
      </c>
      <c r="N16" s="3">
        <f>AVERAGE(C2:C501)</f>
        <v>63.887999999999998</v>
      </c>
    </row>
    <row r="17" spans="1:16" x14ac:dyDescent="0.3">
      <c r="A17">
        <v>116</v>
      </c>
      <c r="B17" t="s">
        <v>12</v>
      </c>
      <c r="C17">
        <v>70</v>
      </c>
      <c r="D17">
        <v>36</v>
      </c>
      <c r="E17">
        <v>72</v>
      </c>
      <c r="F17">
        <f t="shared" si="0"/>
        <v>178</v>
      </c>
      <c r="G17">
        <f t="shared" si="1"/>
        <v>59.333333333333336</v>
      </c>
      <c r="H17" t="str">
        <f>IF(Table1[[#This Row],[Percentage]]&gt;=80,"A",IF(Table1[[#This Row],[Percentage]]&gt;=60,"B",IF(Table1[[#This Row],[Percentage]]&gt;=40,"C","F")))</f>
        <v>C</v>
      </c>
      <c r="I17" t="str">
        <f t="shared" si="2"/>
        <v>Pass</v>
      </c>
      <c r="J17" t="str">
        <f t="shared" si="3"/>
        <v>Below Avg</v>
      </c>
      <c r="K17">
        <f>RANK(Table1[[#This Row],[Total]],Table1[Total],0)</f>
        <v>326</v>
      </c>
      <c r="L17" t="str">
        <f t="shared" si="4"/>
        <v>No</v>
      </c>
      <c r="M17" s="4" t="s">
        <v>3</v>
      </c>
      <c r="N17" s="3">
        <f>AVERAGE(D2:D501)</f>
        <v>64.774000000000001</v>
      </c>
    </row>
    <row r="18" spans="1:16" x14ac:dyDescent="0.3">
      <c r="A18">
        <v>117</v>
      </c>
      <c r="B18" t="s">
        <v>13</v>
      </c>
      <c r="C18">
        <v>43</v>
      </c>
      <c r="D18">
        <v>66</v>
      </c>
      <c r="E18">
        <v>60</v>
      </c>
      <c r="F18">
        <f t="shared" si="0"/>
        <v>169</v>
      </c>
      <c r="G18">
        <f t="shared" si="1"/>
        <v>56.333333333333336</v>
      </c>
      <c r="H18" t="str">
        <f>IF(Table1[[#This Row],[Percentage]]&gt;=80,"A",IF(Table1[[#This Row],[Percentage]]&gt;=60,"B",IF(Table1[[#This Row],[Percentage]]&gt;=40,"C","F")))</f>
        <v>C</v>
      </c>
      <c r="I18" t="str">
        <f t="shared" si="2"/>
        <v>Pass</v>
      </c>
      <c r="J18" t="str">
        <f t="shared" si="3"/>
        <v>Below Avg</v>
      </c>
      <c r="K18">
        <f>RANK(Table1[[#This Row],[Total]],Table1[Total],0)</f>
        <v>370</v>
      </c>
      <c r="L18" t="str">
        <f t="shared" si="4"/>
        <v>No</v>
      </c>
      <c r="M18" s="4" t="s">
        <v>4</v>
      </c>
      <c r="N18" s="3">
        <f>AVERAGE(E2:E501)</f>
        <v>64.73</v>
      </c>
    </row>
    <row r="19" spans="1:16" x14ac:dyDescent="0.3">
      <c r="A19">
        <v>118</v>
      </c>
      <c r="B19" t="s">
        <v>9</v>
      </c>
      <c r="C19">
        <v>71</v>
      </c>
      <c r="D19">
        <v>89</v>
      </c>
      <c r="E19">
        <v>42</v>
      </c>
      <c r="F19">
        <f t="shared" si="0"/>
        <v>202</v>
      </c>
      <c r="G19">
        <f t="shared" si="1"/>
        <v>67.333333333333329</v>
      </c>
      <c r="H19" t="str">
        <f>IF(Table1[[#This Row],[Percentage]]&gt;=80,"A",IF(Table1[[#This Row],[Percentage]]&gt;=60,"B",IF(Table1[[#This Row],[Percentage]]&gt;=40,"C","F")))</f>
        <v>B</v>
      </c>
      <c r="I19" t="str">
        <f t="shared" si="2"/>
        <v>Pass</v>
      </c>
      <c r="J19" t="str">
        <f t="shared" si="3"/>
        <v>Above Avg</v>
      </c>
      <c r="K19">
        <f>RANK(Table1[[#This Row],[Total]],Table1[Total],0)</f>
        <v>204</v>
      </c>
      <c r="L19" t="str">
        <f t="shared" si="4"/>
        <v>No</v>
      </c>
    </row>
    <row r="20" spans="1:16" x14ac:dyDescent="0.3">
      <c r="A20">
        <v>119</v>
      </c>
      <c r="B20" t="s">
        <v>14</v>
      </c>
      <c r="C20">
        <v>77</v>
      </c>
      <c r="D20">
        <v>34</v>
      </c>
      <c r="E20">
        <v>43</v>
      </c>
      <c r="F20">
        <f t="shared" si="0"/>
        <v>154</v>
      </c>
      <c r="G20">
        <f t="shared" si="1"/>
        <v>51.333333333333336</v>
      </c>
      <c r="H20" t="str">
        <f>IF(Table1[[#This Row],[Percentage]]&gt;=80,"A",IF(Table1[[#This Row],[Percentage]]&gt;=60,"B",IF(Table1[[#This Row],[Percentage]]&gt;=40,"C","F")))</f>
        <v>C</v>
      </c>
      <c r="I20" t="str">
        <f t="shared" si="2"/>
        <v>Pass</v>
      </c>
      <c r="J20" t="str">
        <f t="shared" si="3"/>
        <v>Below Avg</v>
      </c>
      <c r="K20">
        <f>RANK(Table1[[#This Row],[Total]],Table1[Total],0)</f>
        <v>430</v>
      </c>
      <c r="L20" t="str">
        <f t="shared" si="4"/>
        <v>No</v>
      </c>
      <c r="N20" s="6" t="s">
        <v>37</v>
      </c>
      <c r="O20" s="3"/>
      <c r="P20" s="3"/>
    </row>
    <row r="21" spans="1:16" x14ac:dyDescent="0.3">
      <c r="A21">
        <v>120</v>
      </c>
      <c r="B21" t="s">
        <v>10</v>
      </c>
      <c r="C21">
        <v>55</v>
      </c>
      <c r="D21">
        <v>70</v>
      </c>
      <c r="E21">
        <v>37</v>
      </c>
      <c r="F21">
        <f t="shared" si="0"/>
        <v>162</v>
      </c>
      <c r="G21">
        <f t="shared" si="1"/>
        <v>54</v>
      </c>
      <c r="H21" t="str">
        <f>IF(Table1[[#This Row],[Percentage]]&gt;=80,"A",IF(Table1[[#This Row],[Percentage]]&gt;=60,"B",IF(Table1[[#This Row],[Percentage]]&gt;=40,"C","F")))</f>
        <v>C</v>
      </c>
      <c r="I21" t="str">
        <f t="shared" si="2"/>
        <v>Pass</v>
      </c>
      <c r="J21" t="str">
        <f t="shared" si="3"/>
        <v>Below Avg</v>
      </c>
      <c r="K21">
        <f>RANK(Table1[[#This Row],[Total]],Table1[Total],0)</f>
        <v>398</v>
      </c>
      <c r="L21" t="str">
        <f t="shared" si="4"/>
        <v>No</v>
      </c>
      <c r="N21" s="5" t="s">
        <v>57</v>
      </c>
      <c r="O21" s="3"/>
      <c r="P21" s="3"/>
    </row>
    <row r="22" spans="1:16" x14ac:dyDescent="0.3">
      <c r="A22">
        <v>121</v>
      </c>
      <c r="B22" t="s">
        <v>9</v>
      </c>
      <c r="C22">
        <v>39</v>
      </c>
      <c r="D22">
        <v>82</v>
      </c>
      <c r="E22">
        <v>89</v>
      </c>
      <c r="F22">
        <f t="shared" si="0"/>
        <v>210</v>
      </c>
      <c r="G22">
        <f t="shared" si="1"/>
        <v>70</v>
      </c>
      <c r="H22" t="str">
        <f>IF(Table1[[#This Row],[Percentage]]&gt;=80,"A",IF(Table1[[#This Row],[Percentage]]&gt;=60,"B",IF(Table1[[#This Row],[Percentage]]&gt;=40,"C","F")))</f>
        <v>B</v>
      </c>
      <c r="I22" t="str">
        <f t="shared" si="2"/>
        <v>Pass</v>
      </c>
      <c r="J22" t="str">
        <f t="shared" si="3"/>
        <v>Above Avg</v>
      </c>
      <c r="K22">
        <f>RANK(Table1[[#This Row],[Total]],Table1[Total],0)</f>
        <v>160</v>
      </c>
      <c r="L22" t="str">
        <f t="shared" si="4"/>
        <v>No</v>
      </c>
      <c r="N22" s="7" t="s">
        <v>56</v>
      </c>
      <c r="O22" s="8" t="s">
        <v>2</v>
      </c>
      <c r="P22" s="8" t="s">
        <v>3</v>
      </c>
    </row>
    <row r="23" spans="1:16" x14ac:dyDescent="0.3">
      <c r="A23">
        <v>122</v>
      </c>
      <c r="B23" t="s">
        <v>12</v>
      </c>
      <c r="C23">
        <v>76</v>
      </c>
      <c r="D23">
        <v>36</v>
      </c>
      <c r="E23">
        <v>31</v>
      </c>
      <c r="F23">
        <f t="shared" si="0"/>
        <v>143</v>
      </c>
      <c r="G23">
        <f t="shared" si="1"/>
        <v>47.666666666666664</v>
      </c>
      <c r="H23" t="str">
        <f>IF(Table1[[#This Row],[Percentage]]&gt;=80,"A",IF(Table1[[#This Row],[Percentage]]&gt;=60,"B",IF(Table1[[#This Row],[Percentage]]&gt;=40,"C","F")))</f>
        <v>C</v>
      </c>
      <c r="I23" t="str">
        <f t="shared" si="2"/>
        <v>Pass</v>
      </c>
      <c r="J23" t="str">
        <f t="shared" si="3"/>
        <v>Below Avg</v>
      </c>
      <c r="K23">
        <f>RANK(Table1[[#This Row],[Total]],Table1[Total],0)</f>
        <v>458</v>
      </c>
      <c r="L23" t="str">
        <f t="shared" si="4"/>
        <v>No</v>
      </c>
      <c r="N23" s="3">
        <v>101</v>
      </c>
      <c r="O23" s="3">
        <f t="shared" ref="O23:O32" si="5">VLOOKUP(A2,A2:E2,3,FALSE)</f>
        <v>93</v>
      </c>
      <c r="P23" s="3">
        <f t="shared" ref="P23:P32" si="6">VLOOKUP(A2,A2:E2,4,FALSE)</f>
        <v>30</v>
      </c>
    </row>
    <row r="24" spans="1:16" x14ac:dyDescent="0.3">
      <c r="A24">
        <v>123</v>
      </c>
      <c r="B24" t="s">
        <v>14</v>
      </c>
      <c r="C24">
        <v>100</v>
      </c>
      <c r="D24">
        <v>74</v>
      </c>
      <c r="E24">
        <v>43</v>
      </c>
      <c r="F24">
        <f t="shared" si="0"/>
        <v>217</v>
      </c>
      <c r="G24">
        <f t="shared" si="1"/>
        <v>72.333333333333329</v>
      </c>
      <c r="H24" t="str">
        <f>IF(Table1[[#This Row],[Percentage]]&gt;=80,"A",IF(Table1[[#This Row],[Percentage]]&gt;=60,"B",IF(Table1[[#This Row],[Percentage]]&gt;=40,"C","F")))</f>
        <v>B</v>
      </c>
      <c r="I24" t="str">
        <f t="shared" si="2"/>
        <v>Pass</v>
      </c>
      <c r="J24" t="str">
        <f t="shared" si="3"/>
        <v>Above Avg</v>
      </c>
      <c r="K24">
        <f>RANK(Table1[[#This Row],[Total]],Table1[Total],0)</f>
        <v>125</v>
      </c>
      <c r="L24" t="str">
        <f t="shared" si="4"/>
        <v>No</v>
      </c>
      <c r="N24" s="3">
        <v>102</v>
      </c>
      <c r="O24" s="3">
        <f t="shared" si="5"/>
        <v>72</v>
      </c>
      <c r="P24" s="3">
        <f t="shared" si="6"/>
        <v>40</v>
      </c>
    </row>
    <row r="25" spans="1:16" x14ac:dyDescent="0.3">
      <c r="A25">
        <v>124</v>
      </c>
      <c r="B25" t="s">
        <v>9</v>
      </c>
      <c r="C25">
        <v>62</v>
      </c>
      <c r="D25">
        <v>68</v>
      </c>
      <c r="E25">
        <v>54</v>
      </c>
      <c r="F25">
        <f t="shared" si="0"/>
        <v>184</v>
      </c>
      <c r="G25">
        <f t="shared" si="1"/>
        <v>61.333333333333336</v>
      </c>
      <c r="H25" t="str">
        <f>IF(Table1[[#This Row],[Percentage]]&gt;=80,"A",IF(Table1[[#This Row],[Percentage]]&gt;=60,"B",IF(Table1[[#This Row],[Percentage]]&gt;=40,"C","F")))</f>
        <v>B</v>
      </c>
      <c r="I25" t="str">
        <f t="shared" si="2"/>
        <v>Pass</v>
      </c>
      <c r="J25" t="str">
        <f t="shared" si="3"/>
        <v>Below Avg</v>
      </c>
      <c r="K25">
        <f>RANK(Table1[[#This Row],[Total]],Table1[Total],0)</f>
        <v>298</v>
      </c>
      <c r="L25" t="str">
        <f t="shared" si="4"/>
        <v>No</v>
      </c>
      <c r="N25" s="3">
        <v>103</v>
      </c>
      <c r="O25" s="3">
        <f t="shared" si="5"/>
        <v>98</v>
      </c>
      <c r="P25" s="3">
        <f t="shared" si="6"/>
        <v>53</v>
      </c>
    </row>
    <row r="26" spans="1:16" x14ac:dyDescent="0.3">
      <c r="A26">
        <v>125</v>
      </c>
      <c r="B26" t="s">
        <v>10</v>
      </c>
      <c r="C26">
        <v>99</v>
      </c>
      <c r="D26">
        <v>53</v>
      </c>
      <c r="E26">
        <v>100</v>
      </c>
      <c r="F26">
        <f t="shared" si="0"/>
        <v>252</v>
      </c>
      <c r="G26">
        <f t="shared" si="1"/>
        <v>84</v>
      </c>
      <c r="H26" t="str">
        <f>IF(Table1[[#This Row],[Percentage]]&gt;=80,"A",IF(Table1[[#This Row],[Percentage]]&gt;=60,"B",IF(Table1[[#This Row],[Percentage]]&gt;=40,"C","F")))</f>
        <v>A</v>
      </c>
      <c r="I26" t="str">
        <f t="shared" si="2"/>
        <v>Pass</v>
      </c>
      <c r="J26" t="str">
        <f t="shared" si="3"/>
        <v>Above Avg</v>
      </c>
      <c r="K26">
        <f>RANK(Table1[[#This Row],[Total]],Table1[Total],0)</f>
        <v>27</v>
      </c>
      <c r="L26" t="str">
        <f t="shared" si="4"/>
        <v>Yes</v>
      </c>
      <c r="N26" s="3">
        <v>104</v>
      </c>
      <c r="O26" s="3">
        <f t="shared" si="5"/>
        <v>97</v>
      </c>
      <c r="P26" s="3">
        <f t="shared" si="6"/>
        <v>82</v>
      </c>
    </row>
    <row r="27" spans="1:16" x14ac:dyDescent="0.3">
      <c r="A27">
        <v>126</v>
      </c>
      <c r="B27" t="s">
        <v>11</v>
      </c>
      <c r="C27">
        <v>33</v>
      </c>
      <c r="D27">
        <v>31</v>
      </c>
      <c r="E27">
        <v>53</v>
      </c>
      <c r="F27">
        <f t="shared" si="0"/>
        <v>117</v>
      </c>
      <c r="G27">
        <f t="shared" si="1"/>
        <v>39</v>
      </c>
      <c r="H27" t="str">
        <f>IF(Table1[[#This Row],[Percentage]]&gt;=80,"A",IF(Table1[[#This Row],[Percentage]]&gt;=60,"B",IF(Table1[[#This Row],[Percentage]]&gt;=40,"C","F")))</f>
        <v>F</v>
      </c>
      <c r="I27" t="str">
        <f t="shared" si="2"/>
        <v>Fail</v>
      </c>
      <c r="J27" t="str">
        <f t="shared" si="3"/>
        <v>Below Avg</v>
      </c>
      <c r="K27">
        <f>RANK(Table1[[#This Row],[Total]],Table1[Total],0)</f>
        <v>496</v>
      </c>
      <c r="L27" t="str">
        <f t="shared" si="4"/>
        <v>No</v>
      </c>
      <c r="N27" s="3">
        <v>105</v>
      </c>
      <c r="O27" s="3">
        <f t="shared" si="5"/>
        <v>85</v>
      </c>
      <c r="P27" s="3">
        <f t="shared" si="6"/>
        <v>39</v>
      </c>
    </row>
    <row r="28" spans="1:16" x14ac:dyDescent="0.3">
      <c r="A28">
        <v>127</v>
      </c>
      <c r="B28" t="s">
        <v>9</v>
      </c>
      <c r="C28">
        <v>30</v>
      </c>
      <c r="D28">
        <v>56</v>
      </c>
      <c r="E28">
        <v>98</v>
      </c>
      <c r="F28">
        <f t="shared" si="0"/>
        <v>184</v>
      </c>
      <c r="G28">
        <f t="shared" si="1"/>
        <v>61.333333333333336</v>
      </c>
      <c r="H28" t="str">
        <f>IF(Table1[[#This Row],[Percentage]]&gt;=80,"A",IF(Table1[[#This Row],[Percentage]]&gt;=60,"B",IF(Table1[[#This Row],[Percentage]]&gt;=40,"C","F")))</f>
        <v>B</v>
      </c>
      <c r="I28" t="str">
        <f t="shared" si="2"/>
        <v>Pass</v>
      </c>
      <c r="J28" t="str">
        <f t="shared" si="3"/>
        <v>Below Avg</v>
      </c>
      <c r="K28">
        <f>RANK(Table1[[#This Row],[Total]],Table1[Total],0)</f>
        <v>298</v>
      </c>
      <c r="L28" t="str">
        <f t="shared" si="4"/>
        <v>No</v>
      </c>
      <c r="N28" s="3">
        <v>106</v>
      </c>
      <c r="O28" s="3">
        <f t="shared" si="5"/>
        <v>72</v>
      </c>
      <c r="P28" s="3">
        <f t="shared" si="6"/>
        <v>62</v>
      </c>
    </row>
    <row r="29" spans="1:16" x14ac:dyDescent="0.3">
      <c r="A29">
        <v>128</v>
      </c>
      <c r="B29" t="s">
        <v>11</v>
      </c>
      <c r="C29">
        <v>99</v>
      </c>
      <c r="D29">
        <v>33</v>
      </c>
      <c r="E29">
        <v>86</v>
      </c>
      <c r="F29">
        <f t="shared" si="0"/>
        <v>218</v>
      </c>
      <c r="G29">
        <f t="shared" si="1"/>
        <v>72.666666666666671</v>
      </c>
      <c r="H29" t="str">
        <f>IF(Table1[[#This Row],[Percentage]]&gt;=80,"A",IF(Table1[[#This Row],[Percentage]]&gt;=60,"B",IF(Table1[[#This Row],[Percentage]]&gt;=40,"C","F")))</f>
        <v>B</v>
      </c>
      <c r="I29" t="str">
        <f t="shared" si="2"/>
        <v>Pass</v>
      </c>
      <c r="J29" t="str">
        <f t="shared" si="3"/>
        <v>Above Avg</v>
      </c>
      <c r="K29">
        <f>RANK(Table1[[#This Row],[Total]],Table1[Total],0)</f>
        <v>120</v>
      </c>
      <c r="L29" t="str">
        <f t="shared" si="4"/>
        <v>No</v>
      </c>
      <c r="N29" s="3">
        <v>107</v>
      </c>
      <c r="O29" s="3">
        <f t="shared" si="5"/>
        <v>57</v>
      </c>
      <c r="P29" s="3">
        <f t="shared" si="6"/>
        <v>92</v>
      </c>
    </row>
    <row r="30" spans="1:16" x14ac:dyDescent="0.3">
      <c r="A30">
        <v>129</v>
      </c>
      <c r="B30" t="s">
        <v>8</v>
      </c>
      <c r="C30">
        <v>54</v>
      </c>
      <c r="D30">
        <v>86</v>
      </c>
      <c r="E30">
        <v>32</v>
      </c>
      <c r="F30">
        <f t="shared" si="0"/>
        <v>172</v>
      </c>
      <c r="G30">
        <f t="shared" si="1"/>
        <v>57.333333333333336</v>
      </c>
      <c r="H30" t="str">
        <f>IF(Table1[[#This Row],[Percentage]]&gt;=80,"A",IF(Table1[[#This Row],[Percentage]]&gt;=60,"B",IF(Table1[[#This Row],[Percentage]]&gt;=40,"C","F")))</f>
        <v>C</v>
      </c>
      <c r="I30" t="str">
        <f t="shared" si="2"/>
        <v>Pass</v>
      </c>
      <c r="J30" t="str">
        <f t="shared" si="3"/>
        <v>Below Avg</v>
      </c>
      <c r="K30">
        <f>RANK(Table1[[#This Row],[Total]],Table1[Total],0)</f>
        <v>351</v>
      </c>
      <c r="L30" t="str">
        <f t="shared" si="4"/>
        <v>No</v>
      </c>
      <c r="N30" s="3">
        <v>108</v>
      </c>
      <c r="O30" s="3">
        <f t="shared" si="5"/>
        <v>68</v>
      </c>
      <c r="P30" s="3">
        <f t="shared" si="6"/>
        <v>64</v>
      </c>
    </row>
    <row r="31" spans="1:16" x14ac:dyDescent="0.3">
      <c r="A31">
        <v>130</v>
      </c>
      <c r="B31" t="s">
        <v>9</v>
      </c>
      <c r="C31">
        <v>51</v>
      </c>
      <c r="D31">
        <v>83</v>
      </c>
      <c r="E31">
        <v>82</v>
      </c>
      <c r="F31">
        <f t="shared" si="0"/>
        <v>216</v>
      </c>
      <c r="G31">
        <f t="shared" si="1"/>
        <v>72</v>
      </c>
      <c r="H31" t="str">
        <f>IF(Table1[[#This Row],[Percentage]]&gt;=80,"A",IF(Table1[[#This Row],[Percentage]]&gt;=60,"B",IF(Table1[[#This Row],[Percentage]]&gt;=40,"C","F")))</f>
        <v>B</v>
      </c>
      <c r="I31" t="str">
        <f t="shared" si="2"/>
        <v>Pass</v>
      </c>
      <c r="J31" t="str">
        <f t="shared" si="3"/>
        <v>Above Avg</v>
      </c>
      <c r="K31">
        <f>RANK(Table1[[#This Row],[Total]],Table1[Total],0)</f>
        <v>130</v>
      </c>
      <c r="L31" t="str">
        <f t="shared" si="4"/>
        <v>No</v>
      </c>
      <c r="N31" s="3">
        <v>109</v>
      </c>
      <c r="O31" s="3">
        <f t="shared" si="5"/>
        <v>59</v>
      </c>
      <c r="P31" s="3">
        <f t="shared" si="6"/>
        <v>74</v>
      </c>
    </row>
    <row r="32" spans="1:16" x14ac:dyDescent="0.3">
      <c r="A32">
        <v>131</v>
      </c>
      <c r="B32" t="s">
        <v>8</v>
      </c>
      <c r="C32">
        <v>72</v>
      </c>
      <c r="D32">
        <v>92</v>
      </c>
      <c r="E32">
        <v>77</v>
      </c>
      <c r="F32">
        <f t="shared" si="0"/>
        <v>241</v>
      </c>
      <c r="G32">
        <f t="shared" si="1"/>
        <v>80.333333333333329</v>
      </c>
      <c r="H32" t="str">
        <f>IF(Table1[[#This Row],[Percentage]]&gt;=80,"A",IF(Table1[[#This Row],[Percentage]]&gt;=60,"B",IF(Table1[[#This Row],[Percentage]]&gt;=40,"C","F")))</f>
        <v>A</v>
      </c>
      <c r="I32" t="str">
        <f t="shared" si="2"/>
        <v>Pass</v>
      </c>
      <c r="J32" t="str">
        <f t="shared" si="3"/>
        <v>Above Avg</v>
      </c>
      <c r="K32">
        <f>RANK(Table1[[#This Row],[Total]],Table1[Total],0)</f>
        <v>48</v>
      </c>
      <c r="L32" t="str">
        <f t="shared" si="4"/>
        <v>Yes</v>
      </c>
      <c r="N32" s="3">
        <v>110</v>
      </c>
      <c r="O32" s="3">
        <f t="shared" si="5"/>
        <v>42</v>
      </c>
      <c r="P32" s="3">
        <f t="shared" si="6"/>
        <v>86</v>
      </c>
    </row>
    <row r="33" spans="1:12" x14ac:dyDescent="0.3">
      <c r="A33">
        <v>132</v>
      </c>
      <c r="B33" t="s">
        <v>11</v>
      </c>
      <c r="C33">
        <v>95</v>
      </c>
      <c r="D33">
        <v>59</v>
      </c>
      <c r="E33">
        <v>88</v>
      </c>
      <c r="F33">
        <f t="shared" si="0"/>
        <v>242</v>
      </c>
      <c r="G33">
        <f t="shared" si="1"/>
        <v>80.666666666666671</v>
      </c>
      <c r="H33" t="str">
        <f>IF(Table1[[#This Row],[Percentage]]&gt;=80,"A",IF(Table1[[#This Row],[Percentage]]&gt;=60,"B",IF(Table1[[#This Row],[Percentage]]&gt;=40,"C","F")))</f>
        <v>A</v>
      </c>
      <c r="I33" t="str">
        <f t="shared" si="2"/>
        <v>Pass</v>
      </c>
      <c r="J33" t="str">
        <f t="shared" si="3"/>
        <v>Above Avg</v>
      </c>
      <c r="K33">
        <f>RANK(Table1[[#This Row],[Total]],Table1[Total],0)</f>
        <v>47</v>
      </c>
      <c r="L33" t="str">
        <f t="shared" si="4"/>
        <v>Yes</v>
      </c>
    </row>
    <row r="34" spans="1:12" x14ac:dyDescent="0.3">
      <c r="A34">
        <v>133</v>
      </c>
      <c r="B34" t="s">
        <v>14</v>
      </c>
      <c r="C34">
        <v>77</v>
      </c>
      <c r="D34">
        <v>33</v>
      </c>
      <c r="E34">
        <v>33</v>
      </c>
      <c r="F34">
        <f t="shared" si="0"/>
        <v>143</v>
      </c>
      <c r="G34">
        <f t="shared" si="1"/>
        <v>47.666666666666664</v>
      </c>
      <c r="H34" t="str">
        <f>IF(Table1[[#This Row],[Percentage]]&gt;=80,"A",IF(Table1[[#This Row],[Percentage]]&gt;=60,"B",IF(Table1[[#This Row],[Percentage]]&gt;=40,"C","F")))</f>
        <v>C</v>
      </c>
      <c r="I34" t="str">
        <f t="shared" si="2"/>
        <v>Pass</v>
      </c>
      <c r="J34" t="str">
        <f t="shared" si="3"/>
        <v>Below Avg</v>
      </c>
      <c r="K34">
        <f>RANK(Table1[[#This Row],[Total]],Table1[Total],0)</f>
        <v>458</v>
      </c>
      <c r="L34" t="str">
        <f t="shared" si="4"/>
        <v>No</v>
      </c>
    </row>
    <row r="35" spans="1:12" x14ac:dyDescent="0.3">
      <c r="A35">
        <v>134</v>
      </c>
      <c r="B35" t="s">
        <v>11</v>
      </c>
      <c r="C35">
        <v>54</v>
      </c>
      <c r="D35">
        <v>42</v>
      </c>
      <c r="E35">
        <v>94</v>
      </c>
      <c r="F35">
        <f t="shared" si="0"/>
        <v>190</v>
      </c>
      <c r="G35">
        <f t="shared" si="1"/>
        <v>63.333333333333336</v>
      </c>
      <c r="H35" t="str">
        <f>IF(Table1[[#This Row],[Percentage]]&gt;=80,"A",IF(Table1[[#This Row],[Percentage]]&gt;=60,"B",IF(Table1[[#This Row],[Percentage]]&gt;=40,"C","F")))</f>
        <v>B</v>
      </c>
      <c r="I35" t="str">
        <f t="shared" si="2"/>
        <v>Pass</v>
      </c>
      <c r="J35" t="str">
        <f t="shared" si="3"/>
        <v>Below Avg</v>
      </c>
      <c r="K35">
        <f>RANK(Table1[[#This Row],[Total]],Table1[Total],0)</f>
        <v>271</v>
      </c>
      <c r="L35" t="str">
        <f t="shared" si="4"/>
        <v>No</v>
      </c>
    </row>
    <row r="36" spans="1:12" x14ac:dyDescent="0.3">
      <c r="A36">
        <v>135</v>
      </c>
      <c r="B36" t="s">
        <v>11</v>
      </c>
      <c r="C36">
        <v>61</v>
      </c>
      <c r="D36">
        <v>100</v>
      </c>
      <c r="E36">
        <v>49</v>
      </c>
      <c r="F36">
        <f t="shared" si="0"/>
        <v>210</v>
      </c>
      <c r="G36">
        <f t="shared" si="1"/>
        <v>70</v>
      </c>
      <c r="H36" t="str">
        <f>IF(Table1[[#This Row],[Percentage]]&gt;=80,"A",IF(Table1[[#This Row],[Percentage]]&gt;=60,"B",IF(Table1[[#This Row],[Percentage]]&gt;=40,"C","F")))</f>
        <v>B</v>
      </c>
      <c r="I36" t="str">
        <f t="shared" si="2"/>
        <v>Pass</v>
      </c>
      <c r="J36" t="str">
        <f t="shared" si="3"/>
        <v>Above Avg</v>
      </c>
      <c r="K36">
        <f>RANK(Table1[[#This Row],[Total]],Table1[Total],0)</f>
        <v>160</v>
      </c>
      <c r="L36" t="str">
        <f t="shared" si="4"/>
        <v>No</v>
      </c>
    </row>
    <row r="37" spans="1:12" x14ac:dyDescent="0.3">
      <c r="A37">
        <v>136</v>
      </c>
      <c r="B37" t="s">
        <v>15</v>
      </c>
      <c r="C37">
        <v>79</v>
      </c>
      <c r="D37">
        <v>81</v>
      </c>
      <c r="E37">
        <v>100</v>
      </c>
      <c r="F37">
        <f t="shared" si="0"/>
        <v>260</v>
      </c>
      <c r="G37">
        <f t="shared" si="1"/>
        <v>86.666666666666671</v>
      </c>
      <c r="H37" t="str">
        <f>IF(Table1[[#This Row],[Percentage]]&gt;=80,"A",IF(Table1[[#This Row],[Percentage]]&gt;=60,"B",IF(Table1[[#This Row],[Percentage]]&gt;=40,"C","F")))</f>
        <v>A</v>
      </c>
      <c r="I37" t="str">
        <f t="shared" si="2"/>
        <v>Pass</v>
      </c>
      <c r="J37" t="str">
        <f t="shared" si="3"/>
        <v>Above Avg</v>
      </c>
      <c r="K37">
        <f>RANK(Table1[[#This Row],[Total]],Table1[Total],0)</f>
        <v>16</v>
      </c>
      <c r="L37" t="str">
        <f t="shared" si="4"/>
        <v>Yes</v>
      </c>
    </row>
    <row r="38" spans="1:12" x14ac:dyDescent="0.3">
      <c r="A38">
        <v>137</v>
      </c>
      <c r="B38" t="s">
        <v>10</v>
      </c>
      <c r="C38">
        <v>41</v>
      </c>
      <c r="D38">
        <v>36</v>
      </c>
      <c r="E38">
        <v>58</v>
      </c>
      <c r="F38">
        <f t="shared" si="0"/>
        <v>135</v>
      </c>
      <c r="G38">
        <f t="shared" si="1"/>
        <v>45</v>
      </c>
      <c r="H38" t="str">
        <f>IF(Table1[[#This Row],[Percentage]]&gt;=80,"A",IF(Table1[[#This Row],[Percentage]]&gt;=60,"B",IF(Table1[[#This Row],[Percentage]]&gt;=40,"C","F")))</f>
        <v>C</v>
      </c>
      <c r="I38" t="str">
        <f t="shared" si="2"/>
        <v>Pass</v>
      </c>
      <c r="J38" t="str">
        <f t="shared" si="3"/>
        <v>Below Avg</v>
      </c>
      <c r="K38">
        <f>RANK(Table1[[#This Row],[Total]],Table1[Total],0)</f>
        <v>477</v>
      </c>
      <c r="L38" t="str">
        <f t="shared" si="4"/>
        <v>No</v>
      </c>
    </row>
    <row r="39" spans="1:12" x14ac:dyDescent="0.3">
      <c r="A39">
        <v>138</v>
      </c>
      <c r="B39" t="s">
        <v>14</v>
      </c>
      <c r="C39">
        <v>85</v>
      </c>
      <c r="D39">
        <v>41</v>
      </c>
      <c r="E39">
        <v>92</v>
      </c>
      <c r="F39">
        <f t="shared" si="0"/>
        <v>218</v>
      </c>
      <c r="G39">
        <f t="shared" si="1"/>
        <v>72.666666666666671</v>
      </c>
      <c r="H39" t="str">
        <f>IF(Table1[[#This Row],[Percentage]]&gt;=80,"A",IF(Table1[[#This Row],[Percentage]]&gt;=60,"B",IF(Table1[[#This Row],[Percentage]]&gt;=40,"C","F")))</f>
        <v>B</v>
      </c>
      <c r="I39" t="str">
        <f t="shared" si="2"/>
        <v>Pass</v>
      </c>
      <c r="J39" t="str">
        <f t="shared" si="3"/>
        <v>Above Avg</v>
      </c>
      <c r="K39">
        <f>RANK(Table1[[#This Row],[Total]],Table1[Total],0)</f>
        <v>120</v>
      </c>
      <c r="L39" t="str">
        <f t="shared" si="4"/>
        <v>No</v>
      </c>
    </row>
    <row r="40" spans="1:12" x14ac:dyDescent="0.3">
      <c r="A40">
        <v>139</v>
      </c>
      <c r="B40" t="s">
        <v>15</v>
      </c>
      <c r="C40">
        <v>40</v>
      </c>
      <c r="D40">
        <v>77</v>
      </c>
      <c r="E40">
        <v>40</v>
      </c>
      <c r="F40">
        <f t="shared" si="0"/>
        <v>157</v>
      </c>
      <c r="G40">
        <f t="shared" si="1"/>
        <v>52.333333333333336</v>
      </c>
      <c r="H40" t="str">
        <f>IF(Table1[[#This Row],[Percentage]]&gt;=80,"A",IF(Table1[[#This Row],[Percentage]]&gt;=60,"B",IF(Table1[[#This Row],[Percentage]]&gt;=40,"C","F")))</f>
        <v>C</v>
      </c>
      <c r="I40" t="str">
        <f t="shared" si="2"/>
        <v>Pass</v>
      </c>
      <c r="J40" t="str">
        <f t="shared" si="3"/>
        <v>Below Avg</v>
      </c>
      <c r="K40">
        <f>RANK(Table1[[#This Row],[Total]],Table1[Total],0)</f>
        <v>417</v>
      </c>
      <c r="L40" t="str">
        <f t="shared" si="4"/>
        <v>No</v>
      </c>
    </row>
    <row r="41" spans="1:12" x14ac:dyDescent="0.3">
      <c r="A41">
        <v>140</v>
      </c>
      <c r="B41" t="s">
        <v>10</v>
      </c>
      <c r="C41">
        <v>32</v>
      </c>
      <c r="D41">
        <v>67</v>
      </c>
      <c r="E41">
        <v>93</v>
      </c>
      <c r="F41">
        <f t="shared" si="0"/>
        <v>192</v>
      </c>
      <c r="G41">
        <f t="shared" si="1"/>
        <v>64</v>
      </c>
      <c r="H41" t="str">
        <f>IF(Table1[[#This Row],[Percentage]]&gt;=80,"A",IF(Table1[[#This Row],[Percentage]]&gt;=60,"B",IF(Table1[[#This Row],[Percentage]]&gt;=40,"C","F")))</f>
        <v>B</v>
      </c>
      <c r="I41" t="str">
        <f t="shared" si="2"/>
        <v>Pass</v>
      </c>
      <c r="J41" t="str">
        <f t="shared" si="3"/>
        <v>Below Avg</v>
      </c>
      <c r="K41">
        <f>RANK(Table1[[#This Row],[Total]],Table1[Total],0)</f>
        <v>259</v>
      </c>
      <c r="L41" t="str">
        <f t="shared" si="4"/>
        <v>No</v>
      </c>
    </row>
    <row r="42" spans="1:12" x14ac:dyDescent="0.3">
      <c r="A42">
        <v>141</v>
      </c>
      <c r="B42" t="s">
        <v>12</v>
      </c>
      <c r="C42">
        <v>52</v>
      </c>
      <c r="D42">
        <v>77</v>
      </c>
      <c r="E42">
        <v>55</v>
      </c>
      <c r="F42">
        <f t="shared" si="0"/>
        <v>184</v>
      </c>
      <c r="G42">
        <f t="shared" si="1"/>
        <v>61.333333333333336</v>
      </c>
      <c r="H42" t="str">
        <f>IF(Table1[[#This Row],[Percentage]]&gt;=80,"A",IF(Table1[[#This Row],[Percentage]]&gt;=60,"B",IF(Table1[[#This Row],[Percentage]]&gt;=40,"C","F")))</f>
        <v>B</v>
      </c>
      <c r="I42" t="str">
        <f t="shared" si="2"/>
        <v>Pass</v>
      </c>
      <c r="J42" t="str">
        <f t="shared" si="3"/>
        <v>Below Avg</v>
      </c>
      <c r="K42">
        <f>RANK(Table1[[#This Row],[Total]],Table1[Total],0)</f>
        <v>298</v>
      </c>
      <c r="L42" t="str">
        <f t="shared" si="4"/>
        <v>No</v>
      </c>
    </row>
    <row r="43" spans="1:12" x14ac:dyDescent="0.3">
      <c r="A43">
        <v>142</v>
      </c>
      <c r="B43" t="s">
        <v>12</v>
      </c>
      <c r="C43">
        <v>44</v>
      </c>
      <c r="D43">
        <v>36</v>
      </c>
      <c r="E43">
        <v>96</v>
      </c>
      <c r="F43">
        <f t="shared" si="0"/>
        <v>176</v>
      </c>
      <c r="G43">
        <f t="shared" si="1"/>
        <v>58.666666666666664</v>
      </c>
      <c r="H43" t="str">
        <f>IF(Table1[[#This Row],[Percentage]]&gt;=80,"A",IF(Table1[[#This Row],[Percentage]]&gt;=60,"B",IF(Table1[[#This Row],[Percentage]]&gt;=40,"C","F")))</f>
        <v>C</v>
      </c>
      <c r="I43" t="str">
        <f t="shared" si="2"/>
        <v>Pass</v>
      </c>
      <c r="J43" t="str">
        <f t="shared" si="3"/>
        <v>Below Avg</v>
      </c>
      <c r="K43">
        <f>RANK(Table1[[#This Row],[Total]],Table1[Total],0)</f>
        <v>334</v>
      </c>
      <c r="L43" t="str">
        <f t="shared" si="4"/>
        <v>No</v>
      </c>
    </row>
    <row r="44" spans="1:12" x14ac:dyDescent="0.3">
      <c r="A44">
        <v>143</v>
      </c>
      <c r="B44" t="s">
        <v>11</v>
      </c>
      <c r="C44">
        <v>41</v>
      </c>
      <c r="D44">
        <v>57</v>
      </c>
      <c r="E44">
        <v>95</v>
      </c>
      <c r="F44">
        <f t="shared" si="0"/>
        <v>193</v>
      </c>
      <c r="G44">
        <f t="shared" si="1"/>
        <v>64.333333333333329</v>
      </c>
      <c r="H44" t="str">
        <f>IF(Table1[[#This Row],[Percentage]]&gt;=80,"A",IF(Table1[[#This Row],[Percentage]]&gt;=60,"B",IF(Table1[[#This Row],[Percentage]]&gt;=40,"C","F")))</f>
        <v>B</v>
      </c>
      <c r="I44" t="str">
        <f t="shared" si="2"/>
        <v>Pass</v>
      </c>
      <c r="J44" t="str">
        <f t="shared" si="3"/>
        <v>Below Avg</v>
      </c>
      <c r="K44">
        <f>RANK(Table1[[#This Row],[Total]],Table1[Total],0)</f>
        <v>254</v>
      </c>
      <c r="L44" t="str">
        <f t="shared" si="4"/>
        <v>No</v>
      </c>
    </row>
    <row r="45" spans="1:12" x14ac:dyDescent="0.3">
      <c r="A45">
        <v>144</v>
      </c>
      <c r="B45" t="s">
        <v>9</v>
      </c>
      <c r="C45">
        <v>71</v>
      </c>
      <c r="D45">
        <v>96</v>
      </c>
      <c r="E45">
        <v>38</v>
      </c>
      <c r="F45">
        <f t="shared" si="0"/>
        <v>205</v>
      </c>
      <c r="G45">
        <f t="shared" si="1"/>
        <v>68.333333333333329</v>
      </c>
      <c r="H45" t="str">
        <f>IF(Table1[[#This Row],[Percentage]]&gt;=80,"A",IF(Table1[[#This Row],[Percentage]]&gt;=60,"B",IF(Table1[[#This Row],[Percentage]]&gt;=40,"C","F")))</f>
        <v>B</v>
      </c>
      <c r="I45" t="str">
        <f t="shared" si="2"/>
        <v>Pass</v>
      </c>
      <c r="J45" t="str">
        <f t="shared" si="3"/>
        <v>Above Avg</v>
      </c>
      <c r="K45">
        <f>RANK(Table1[[#This Row],[Total]],Table1[Total],0)</f>
        <v>188</v>
      </c>
      <c r="L45" t="str">
        <f t="shared" si="4"/>
        <v>No</v>
      </c>
    </row>
    <row r="46" spans="1:12" x14ac:dyDescent="0.3">
      <c r="A46">
        <v>145</v>
      </c>
      <c r="B46" t="s">
        <v>8</v>
      </c>
      <c r="C46">
        <v>99</v>
      </c>
      <c r="D46">
        <v>97</v>
      </c>
      <c r="E46">
        <v>67</v>
      </c>
      <c r="F46">
        <f t="shared" si="0"/>
        <v>263</v>
      </c>
      <c r="G46">
        <f t="shared" si="1"/>
        <v>87.666666666666671</v>
      </c>
      <c r="H46" t="str">
        <f>IF(Table1[[#This Row],[Percentage]]&gt;=80,"A",IF(Table1[[#This Row],[Percentage]]&gt;=60,"B",IF(Table1[[#This Row],[Percentage]]&gt;=40,"C","F")))</f>
        <v>A</v>
      </c>
      <c r="I46" t="str">
        <f t="shared" si="2"/>
        <v>Pass</v>
      </c>
      <c r="J46" t="str">
        <f t="shared" si="3"/>
        <v>Above Avg</v>
      </c>
      <c r="K46">
        <f>RANK(Table1[[#This Row],[Total]],Table1[Total],0)</f>
        <v>12</v>
      </c>
      <c r="L46" t="str">
        <f t="shared" si="4"/>
        <v>Yes</v>
      </c>
    </row>
    <row r="47" spans="1:12" x14ac:dyDescent="0.3">
      <c r="A47">
        <v>146</v>
      </c>
      <c r="B47" t="s">
        <v>13</v>
      </c>
      <c r="C47">
        <v>36</v>
      </c>
      <c r="D47">
        <v>82</v>
      </c>
      <c r="E47">
        <v>77</v>
      </c>
      <c r="F47">
        <f t="shared" si="0"/>
        <v>195</v>
      </c>
      <c r="G47">
        <f t="shared" si="1"/>
        <v>65</v>
      </c>
      <c r="H47" t="str">
        <f>IF(Table1[[#This Row],[Percentage]]&gt;=80,"A",IF(Table1[[#This Row],[Percentage]]&gt;=60,"B",IF(Table1[[#This Row],[Percentage]]&gt;=40,"C","F")))</f>
        <v>B</v>
      </c>
      <c r="I47" t="str">
        <f t="shared" si="2"/>
        <v>Pass</v>
      </c>
      <c r="J47" t="str">
        <f t="shared" si="3"/>
        <v>Above Avg</v>
      </c>
      <c r="K47">
        <f>RANK(Table1[[#This Row],[Total]],Table1[Total],0)</f>
        <v>243</v>
      </c>
      <c r="L47" t="str">
        <f t="shared" si="4"/>
        <v>No</v>
      </c>
    </row>
    <row r="48" spans="1:12" x14ac:dyDescent="0.3">
      <c r="A48">
        <v>147</v>
      </c>
      <c r="B48" t="s">
        <v>8</v>
      </c>
      <c r="C48">
        <v>49</v>
      </c>
      <c r="D48">
        <v>77</v>
      </c>
      <c r="E48">
        <v>93</v>
      </c>
      <c r="F48">
        <f t="shared" si="0"/>
        <v>219</v>
      </c>
      <c r="G48">
        <f t="shared" si="1"/>
        <v>73</v>
      </c>
      <c r="H48" t="str">
        <f>IF(Table1[[#This Row],[Percentage]]&gt;=80,"A",IF(Table1[[#This Row],[Percentage]]&gt;=60,"B",IF(Table1[[#This Row],[Percentage]]&gt;=40,"C","F")))</f>
        <v>B</v>
      </c>
      <c r="I48" t="str">
        <f t="shared" si="2"/>
        <v>Pass</v>
      </c>
      <c r="J48" t="str">
        <f t="shared" si="3"/>
        <v>Above Avg</v>
      </c>
      <c r="K48">
        <f>RANK(Table1[[#This Row],[Total]],Table1[Total],0)</f>
        <v>115</v>
      </c>
      <c r="L48" t="str">
        <f t="shared" si="4"/>
        <v>No</v>
      </c>
    </row>
    <row r="49" spans="1:12" x14ac:dyDescent="0.3">
      <c r="A49">
        <v>148</v>
      </c>
      <c r="B49" t="s">
        <v>11</v>
      </c>
      <c r="C49">
        <v>96</v>
      </c>
      <c r="D49">
        <v>96</v>
      </c>
      <c r="E49">
        <v>54</v>
      </c>
      <c r="F49">
        <f t="shared" si="0"/>
        <v>246</v>
      </c>
      <c r="G49">
        <f t="shared" si="1"/>
        <v>82</v>
      </c>
      <c r="H49" t="str">
        <f>IF(Table1[[#This Row],[Percentage]]&gt;=80,"A",IF(Table1[[#This Row],[Percentage]]&gt;=60,"B",IF(Table1[[#This Row],[Percentage]]&gt;=40,"C","F")))</f>
        <v>A</v>
      </c>
      <c r="I49" t="str">
        <f t="shared" si="2"/>
        <v>Pass</v>
      </c>
      <c r="J49" t="str">
        <f t="shared" si="3"/>
        <v>Above Avg</v>
      </c>
      <c r="K49">
        <f>RANK(Table1[[#This Row],[Total]],Table1[Total],0)</f>
        <v>40</v>
      </c>
      <c r="L49" t="str">
        <f t="shared" si="4"/>
        <v>Yes</v>
      </c>
    </row>
    <row r="50" spans="1:12" x14ac:dyDescent="0.3">
      <c r="A50">
        <v>149</v>
      </c>
      <c r="B50" t="s">
        <v>14</v>
      </c>
      <c r="C50">
        <v>98</v>
      </c>
      <c r="D50">
        <v>51</v>
      </c>
      <c r="E50">
        <v>51</v>
      </c>
      <c r="F50">
        <f t="shared" si="0"/>
        <v>200</v>
      </c>
      <c r="G50">
        <f t="shared" si="1"/>
        <v>66.666666666666671</v>
      </c>
      <c r="H50" t="str">
        <f>IF(Table1[[#This Row],[Percentage]]&gt;=80,"A",IF(Table1[[#This Row],[Percentage]]&gt;=60,"B",IF(Table1[[#This Row],[Percentage]]&gt;=40,"C","F")))</f>
        <v>B</v>
      </c>
      <c r="I50" t="str">
        <f t="shared" si="2"/>
        <v>Pass</v>
      </c>
      <c r="J50" t="str">
        <f t="shared" si="3"/>
        <v>Above Avg</v>
      </c>
      <c r="K50">
        <f>RANK(Table1[[#This Row],[Total]],Table1[Total],0)</f>
        <v>210</v>
      </c>
      <c r="L50" t="str">
        <f t="shared" si="4"/>
        <v>No</v>
      </c>
    </row>
    <row r="51" spans="1:12" x14ac:dyDescent="0.3">
      <c r="A51">
        <v>150</v>
      </c>
      <c r="B51" t="s">
        <v>12</v>
      </c>
      <c r="C51">
        <v>64</v>
      </c>
      <c r="D51">
        <v>62</v>
      </c>
      <c r="E51">
        <v>41</v>
      </c>
      <c r="F51">
        <f t="shared" si="0"/>
        <v>167</v>
      </c>
      <c r="G51">
        <f t="shared" si="1"/>
        <v>55.666666666666664</v>
      </c>
      <c r="H51" t="str">
        <f>IF(Table1[[#This Row],[Percentage]]&gt;=80,"A",IF(Table1[[#This Row],[Percentage]]&gt;=60,"B",IF(Table1[[#This Row],[Percentage]]&gt;=40,"C","F")))</f>
        <v>C</v>
      </c>
      <c r="I51" t="str">
        <f t="shared" si="2"/>
        <v>Pass</v>
      </c>
      <c r="J51" t="str">
        <f t="shared" si="3"/>
        <v>Below Avg</v>
      </c>
      <c r="K51">
        <f>RANK(Table1[[#This Row],[Total]],Table1[Total],0)</f>
        <v>378</v>
      </c>
      <c r="L51" t="str">
        <f t="shared" si="4"/>
        <v>No</v>
      </c>
    </row>
    <row r="52" spans="1:12" x14ac:dyDescent="0.3">
      <c r="A52">
        <v>151</v>
      </c>
      <c r="B52" t="s">
        <v>15</v>
      </c>
      <c r="C52">
        <v>98</v>
      </c>
      <c r="D52">
        <v>91</v>
      </c>
      <c r="E52">
        <v>65</v>
      </c>
      <c r="F52">
        <f t="shared" si="0"/>
        <v>254</v>
      </c>
      <c r="G52">
        <f t="shared" si="1"/>
        <v>84.666666666666671</v>
      </c>
      <c r="H52" t="str">
        <f>IF(Table1[[#This Row],[Percentage]]&gt;=80,"A",IF(Table1[[#This Row],[Percentage]]&gt;=60,"B",IF(Table1[[#This Row],[Percentage]]&gt;=40,"C","F")))</f>
        <v>A</v>
      </c>
      <c r="I52" t="str">
        <f t="shared" si="2"/>
        <v>Pass</v>
      </c>
      <c r="J52" t="str">
        <f t="shared" si="3"/>
        <v>Above Avg</v>
      </c>
      <c r="K52">
        <f>RANK(Table1[[#This Row],[Total]],Table1[Total],0)</f>
        <v>25</v>
      </c>
      <c r="L52" t="str">
        <f t="shared" si="4"/>
        <v>Yes</v>
      </c>
    </row>
    <row r="53" spans="1:12" x14ac:dyDescent="0.3">
      <c r="A53">
        <v>152</v>
      </c>
      <c r="B53" t="s">
        <v>13</v>
      </c>
      <c r="C53">
        <v>32</v>
      </c>
      <c r="D53">
        <v>96</v>
      </c>
      <c r="E53">
        <v>35</v>
      </c>
      <c r="F53">
        <f t="shared" si="0"/>
        <v>163</v>
      </c>
      <c r="G53">
        <f t="shared" si="1"/>
        <v>54.333333333333336</v>
      </c>
      <c r="H53" t="str">
        <f>IF(Table1[[#This Row],[Percentage]]&gt;=80,"A",IF(Table1[[#This Row],[Percentage]]&gt;=60,"B",IF(Table1[[#This Row],[Percentage]]&gt;=40,"C","F")))</f>
        <v>C</v>
      </c>
      <c r="I53" t="str">
        <f t="shared" si="2"/>
        <v>Pass</v>
      </c>
      <c r="J53" t="str">
        <f t="shared" si="3"/>
        <v>Below Avg</v>
      </c>
      <c r="K53">
        <f>RANK(Table1[[#This Row],[Total]],Table1[Total],0)</f>
        <v>397</v>
      </c>
      <c r="L53" t="str">
        <f t="shared" si="4"/>
        <v>No</v>
      </c>
    </row>
    <row r="54" spans="1:12" x14ac:dyDescent="0.3">
      <c r="A54">
        <v>153</v>
      </c>
      <c r="B54" t="s">
        <v>9</v>
      </c>
      <c r="C54">
        <v>78</v>
      </c>
      <c r="D54">
        <v>74</v>
      </c>
      <c r="E54">
        <v>66</v>
      </c>
      <c r="F54">
        <f t="shared" si="0"/>
        <v>218</v>
      </c>
      <c r="G54">
        <f t="shared" si="1"/>
        <v>72.666666666666671</v>
      </c>
      <c r="H54" t="str">
        <f>IF(Table1[[#This Row],[Percentage]]&gt;=80,"A",IF(Table1[[#This Row],[Percentage]]&gt;=60,"B",IF(Table1[[#This Row],[Percentage]]&gt;=40,"C","F")))</f>
        <v>B</v>
      </c>
      <c r="I54" t="str">
        <f t="shared" si="2"/>
        <v>Pass</v>
      </c>
      <c r="J54" t="str">
        <f t="shared" si="3"/>
        <v>Above Avg</v>
      </c>
      <c r="K54">
        <f>RANK(Table1[[#This Row],[Total]],Table1[Total],0)</f>
        <v>120</v>
      </c>
      <c r="L54" t="str">
        <f t="shared" si="4"/>
        <v>No</v>
      </c>
    </row>
    <row r="55" spans="1:12" x14ac:dyDescent="0.3">
      <c r="A55">
        <v>154</v>
      </c>
      <c r="B55" t="s">
        <v>14</v>
      </c>
      <c r="C55">
        <v>32</v>
      </c>
      <c r="D55">
        <v>84</v>
      </c>
      <c r="E55">
        <v>46</v>
      </c>
      <c r="F55">
        <f t="shared" si="0"/>
        <v>162</v>
      </c>
      <c r="G55">
        <f t="shared" si="1"/>
        <v>54</v>
      </c>
      <c r="H55" t="str">
        <f>IF(Table1[[#This Row],[Percentage]]&gt;=80,"A",IF(Table1[[#This Row],[Percentage]]&gt;=60,"B",IF(Table1[[#This Row],[Percentage]]&gt;=40,"C","F")))</f>
        <v>C</v>
      </c>
      <c r="I55" t="str">
        <f t="shared" si="2"/>
        <v>Pass</v>
      </c>
      <c r="J55" t="str">
        <f t="shared" si="3"/>
        <v>Below Avg</v>
      </c>
      <c r="K55">
        <f>RANK(Table1[[#This Row],[Total]],Table1[Total],0)</f>
        <v>398</v>
      </c>
      <c r="L55" t="str">
        <f t="shared" si="4"/>
        <v>No</v>
      </c>
    </row>
    <row r="56" spans="1:12" x14ac:dyDescent="0.3">
      <c r="A56">
        <v>155</v>
      </c>
      <c r="B56" t="s">
        <v>11</v>
      </c>
      <c r="C56">
        <v>39</v>
      </c>
      <c r="D56">
        <v>59</v>
      </c>
      <c r="E56">
        <v>99</v>
      </c>
      <c r="F56">
        <f t="shared" si="0"/>
        <v>197</v>
      </c>
      <c r="G56">
        <f t="shared" si="1"/>
        <v>65.666666666666671</v>
      </c>
      <c r="H56" t="str">
        <f>IF(Table1[[#This Row],[Percentage]]&gt;=80,"A",IF(Table1[[#This Row],[Percentage]]&gt;=60,"B",IF(Table1[[#This Row],[Percentage]]&gt;=40,"C","F")))</f>
        <v>B</v>
      </c>
      <c r="I56" t="str">
        <f t="shared" si="2"/>
        <v>Pass</v>
      </c>
      <c r="J56" t="str">
        <f t="shared" si="3"/>
        <v>Above Avg</v>
      </c>
      <c r="K56">
        <f>RANK(Table1[[#This Row],[Total]],Table1[Total],0)</f>
        <v>224</v>
      </c>
      <c r="L56" t="str">
        <f t="shared" si="4"/>
        <v>No</v>
      </c>
    </row>
    <row r="57" spans="1:12" x14ac:dyDescent="0.3">
      <c r="A57">
        <v>156</v>
      </c>
      <c r="B57" t="s">
        <v>15</v>
      </c>
      <c r="C57">
        <v>65</v>
      </c>
      <c r="D57">
        <v>50</v>
      </c>
      <c r="E57">
        <v>85</v>
      </c>
      <c r="F57">
        <f t="shared" si="0"/>
        <v>200</v>
      </c>
      <c r="G57">
        <f t="shared" si="1"/>
        <v>66.666666666666671</v>
      </c>
      <c r="H57" t="str">
        <f>IF(Table1[[#This Row],[Percentage]]&gt;=80,"A",IF(Table1[[#This Row],[Percentage]]&gt;=60,"B",IF(Table1[[#This Row],[Percentage]]&gt;=40,"C","F")))</f>
        <v>B</v>
      </c>
      <c r="I57" t="str">
        <f t="shared" si="2"/>
        <v>Pass</v>
      </c>
      <c r="J57" t="str">
        <f t="shared" si="3"/>
        <v>Above Avg</v>
      </c>
      <c r="K57">
        <f>RANK(Table1[[#This Row],[Total]],Table1[Total],0)</f>
        <v>210</v>
      </c>
      <c r="L57" t="str">
        <f t="shared" si="4"/>
        <v>No</v>
      </c>
    </row>
    <row r="58" spans="1:12" x14ac:dyDescent="0.3">
      <c r="A58">
        <v>157</v>
      </c>
      <c r="B58" t="s">
        <v>13</v>
      </c>
      <c r="C58">
        <v>85</v>
      </c>
      <c r="D58">
        <v>70</v>
      </c>
      <c r="E58">
        <v>52</v>
      </c>
      <c r="F58">
        <f t="shared" si="0"/>
        <v>207</v>
      </c>
      <c r="G58">
        <f t="shared" si="1"/>
        <v>69</v>
      </c>
      <c r="H58" t="str">
        <f>IF(Table1[[#This Row],[Percentage]]&gt;=80,"A",IF(Table1[[#This Row],[Percentage]]&gt;=60,"B",IF(Table1[[#This Row],[Percentage]]&gt;=40,"C","F")))</f>
        <v>B</v>
      </c>
      <c r="I58" t="str">
        <f t="shared" si="2"/>
        <v>Pass</v>
      </c>
      <c r="J58" t="str">
        <f t="shared" si="3"/>
        <v>Above Avg</v>
      </c>
      <c r="K58">
        <f>RANK(Table1[[#This Row],[Total]],Table1[Total],0)</f>
        <v>175</v>
      </c>
      <c r="L58" t="str">
        <f t="shared" si="4"/>
        <v>No</v>
      </c>
    </row>
    <row r="59" spans="1:12" x14ac:dyDescent="0.3">
      <c r="A59">
        <v>158</v>
      </c>
      <c r="B59" t="s">
        <v>15</v>
      </c>
      <c r="C59">
        <v>59</v>
      </c>
      <c r="D59">
        <v>58</v>
      </c>
      <c r="E59">
        <v>47</v>
      </c>
      <c r="F59">
        <f t="shared" si="0"/>
        <v>164</v>
      </c>
      <c r="G59">
        <f t="shared" si="1"/>
        <v>54.666666666666664</v>
      </c>
      <c r="H59" t="str">
        <f>IF(Table1[[#This Row],[Percentage]]&gt;=80,"A",IF(Table1[[#This Row],[Percentage]]&gt;=60,"B",IF(Table1[[#This Row],[Percentage]]&gt;=40,"C","F")))</f>
        <v>C</v>
      </c>
      <c r="I59" t="str">
        <f t="shared" si="2"/>
        <v>Pass</v>
      </c>
      <c r="J59" t="str">
        <f t="shared" si="3"/>
        <v>Below Avg</v>
      </c>
      <c r="K59">
        <f>RANK(Table1[[#This Row],[Total]],Table1[Total],0)</f>
        <v>392</v>
      </c>
      <c r="L59" t="str">
        <f t="shared" si="4"/>
        <v>No</v>
      </c>
    </row>
    <row r="60" spans="1:12" x14ac:dyDescent="0.3">
      <c r="A60">
        <v>159</v>
      </c>
      <c r="B60" t="s">
        <v>12</v>
      </c>
      <c r="C60">
        <v>32</v>
      </c>
      <c r="D60">
        <v>58</v>
      </c>
      <c r="E60">
        <v>93</v>
      </c>
      <c r="F60">
        <f t="shared" si="0"/>
        <v>183</v>
      </c>
      <c r="G60">
        <f t="shared" si="1"/>
        <v>61</v>
      </c>
      <c r="H60" t="str">
        <f>IF(Table1[[#This Row],[Percentage]]&gt;=80,"A",IF(Table1[[#This Row],[Percentage]]&gt;=60,"B",IF(Table1[[#This Row],[Percentage]]&gt;=40,"C","F")))</f>
        <v>B</v>
      </c>
      <c r="I60" t="str">
        <f t="shared" si="2"/>
        <v>Pass</v>
      </c>
      <c r="J60" t="str">
        <f t="shared" si="3"/>
        <v>Below Avg</v>
      </c>
      <c r="K60">
        <f>RANK(Table1[[#This Row],[Total]],Table1[Total],0)</f>
        <v>307</v>
      </c>
      <c r="L60" t="str">
        <f t="shared" si="4"/>
        <v>No</v>
      </c>
    </row>
    <row r="61" spans="1:12" x14ac:dyDescent="0.3">
      <c r="A61">
        <v>160</v>
      </c>
      <c r="B61" t="s">
        <v>12</v>
      </c>
      <c r="C61">
        <v>81</v>
      </c>
      <c r="D61">
        <v>50</v>
      </c>
      <c r="E61">
        <v>35</v>
      </c>
      <c r="F61">
        <f t="shared" si="0"/>
        <v>166</v>
      </c>
      <c r="G61">
        <f t="shared" si="1"/>
        <v>55.333333333333336</v>
      </c>
      <c r="H61" t="str">
        <f>IF(Table1[[#This Row],[Percentage]]&gt;=80,"A",IF(Table1[[#This Row],[Percentage]]&gt;=60,"B",IF(Table1[[#This Row],[Percentage]]&gt;=40,"C","F")))</f>
        <v>C</v>
      </c>
      <c r="I61" t="str">
        <f t="shared" si="2"/>
        <v>Pass</v>
      </c>
      <c r="J61" t="str">
        <f t="shared" si="3"/>
        <v>Below Avg</v>
      </c>
      <c r="K61">
        <f>RANK(Table1[[#This Row],[Total]],Table1[Total],0)</f>
        <v>384</v>
      </c>
      <c r="L61" t="str">
        <f t="shared" si="4"/>
        <v>No</v>
      </c>
    </row>
    <row r="62" spans="1:12" x14ac:dyDescent="0.3">
      <c r="A62">
        <v>161</v>
      </c>
      <c r="B62" t="s">
        <v>13</v>
      </c>
      <c r="C62">
        <v>43</v>
      </c>
      <c r="D62">
        <v>80</v>
      </c>
      <c r="E62">
        <v>47</v>
      </c>
      <c r="F62">
        <f t="shared" si="0"/>
        <v>170</v>
      </c>
      <c r="G62">
        <f t="shared" si="1"/>
        <v>56.666666666666664</v>
      </c>
      <c r="H62" t="str">
        <f>IF(Table1[[#This Row],[Percentage]]&gt;=80,"A",IF(Table1[[#This Row],[Percentage]]&gt;=60,"B",IF(Table1[[#This Row],[Percentage]]&gt;=40,"C","F")))</f>
        <v>C</v>
      </c>
      <c r="I62" t="str">
        <f t="shared" si="2"/>
        <v>Pass</v>
      </c>
      <c r="J62" t="str">
        <f t="shared" si="3"/>
        <v>Below Avg</v>
      </c>
      <c r="K62">
        <f>RANK(Table1[[#This Row],[Total]],Table1[Total],0)</f>
        <v>364</v>
      </c>
      <c r="L62" t="str">
        <f t="shared" si="4"/>
        <v>No</v>
      </c>
    </row>
    <row r="63" spans="1:12" x14ac:dyDescent="0.3">
      <c r="A63">
        <v>162</v>
      </c>
      <c r="B63" t="s">
        <v>9</v>
      </c>
      <c r="C63">
        <v>72</v>
      </c>
      <c r="D63">
        <v>42</v>
      </c>
      <c r="E63">
        <v>84</v>
      </c>
      <c r="F63">
        <f t="shared" si="0"/>
        <v>198</v>
      </c>
      <c r="G63">
        <f t="shared" si="1"/>
        <v>66</v>
      </c>
      <c r="H63" t="str">
        <f>IF(Table1[[#This Row],[Percentage]]&gt;=80,"A",IF(Table1[[#This Row],[Percentage]]&gt;=60,"B",IF(Table1[[#This Row],[Percentage]]&gt;=40,"C","F")))</f>
        <v>B</v>
      </c>
      <c r="I63" t="str">
        <f t="shared" si="2"/>
        <v>Pass</v>
      </c>
      <c r="J63" t="str">
        <f t="shared" si="3"/>
        <v>Above Avg</v>
      </c>
      <c r="K63">
        <f>RANK(Table1[[#This Row],[Total]],Table1[Total],0)</f>
        <v>217</v>
      </c>
      <c r="L63" t="str">
        <f t="shared" si="4"/>
        <v>No</v>
      </c>
    </row>
    <row r="64" spans="1:12" x14ac:dyDescent="0.3">
      <c r="A64">
        <v>163</v>
      </c>
      <c r="B64" t="s">
        <v>14</v>
      </c>
      <c r="C64">
        <v>96</v>
      </c>
      <c r="D64">
        <v>32</v>
      </c>
      <c r="E64">
        <v>67</v>
      </c>
      <c r="F64">
        <f t="shared" si="0"/>
        <v>195</v>
      </c>
      <c r="G64">
        <f t="shared" si="1"/>
        <v>65</v>
      </c>
      <c r="H64" t="str">
        <f>IF(Table1[[#This Row],[Percentage]]&gt;=80,"A",IF(Table1[[#This Row],[Percentage]]&gt;=60,"B",IF(Table1[[#This Row],[Percentage]]&gt;=40,"C","F")))</f>
        <v>B</v>
      </c>
      <c r="I64" t="str">
        <f t="shared" si="2"/>
        <v>Pass</v>
      </c>
      <c r="J64" t="str">
        <f t="shared" si="3"/>
        <v>Above Avg</v>
      </c>
      <c r="K64">
        <f>RANK(Table1[[#This Row],[Total]],Table1[Total],0)</f>
        <v>243</v>
      </c>
      <c r="L64" t="str">
        <f t="shared" si="4"/>
        <v>No</v>
      </c>
    </row>
    <row r="65" spans="1:12" x14ac:dyDescent="0.3">
      <c r="A65">
        <v>164</v>
      </c>
      <c r="B65" t="s">
        <v>9</v>
      </c>
      <c r="C65">
        <v>96</v>
      </c>
      <c r="D65">
        <v>85</v>
      </c>
      <c r="E65">
        <v>93</v>
      </c>
      <c r="F65">
        <f t="shared" si="0"/>
        <v>274</v>
      </c>
      <c r="G65">
        <f t="shared" si="1"/>
        <v>91.333333333333329</v>
      </c>
      <c r="H65" t="str">
        <f>IF(Table1[[#This Row],[Percentage]]&gt;=80,"A",IF(Table1[[#This Row],[Percentage]]&gt;=60,"B",IF(Table1[[#This Row],[Percentage]]&gt;=40,"C","F")))</f>
        <v>A</v>
      </c>
      <c r="I65" t="str">
        <f t="shared" si="2"/>
        <v>Pass</v>
      </c>
      <c r="J65" t="str">
        <f t="shared" si="3"/>
        <v>Above Avg</v>
      </c>
      <c r="K65">
        <f>RANK(Table1[[#This Row],[Total]],Table1[Total],0)</f>
        <v>3</v>
      </c>
      <c r="L65" t="str">
        <f t="shared" si="4"/>
        <v>Yes</v>
      </c>
    </row>
    <row r="66" spans="1:12" x14ac:dyDescent="0.3">
      <c r="A66">
        <v>165</v>
      </c>
      <c r="B66" t="s">
        <v>15</v>
      </c>
      <c r="C66">
        <v>37</v>
      </c>
      <c r="D66">
        <v>87</v>
      </c>
      <c r="E66">
        <v>85</v>
      </c>
      <c r="F66">
        <f t="shared" ref="F66:F129" si="7">SUM(C66:E66)</f>
        <v>209</v>
      </c>
      <c r="G66">
        <f t="shared" ref="G66:G129" si="8">F66/3</f>
        <v>69.666666666666671</v>
      </c>
      <c r="H66" t="str">
        <f>IF(Table1[[#This Row],[Percentage]]&gt;=80,"A",IF(Table1[[#This Row],[Percentage]]&gt;=60,"B",IF(Table1[[#This Row],[Percentage]]&gt;=40,"C","F")))</f>
        <v>B</v>
      </c>
      <c r="I66" t="str">
        <f t="shared" si="2"/>
        <v>Pass</v>
      </c>
      <c r="J66" t="str">
        <f t="shared" si="3"/>
        <v>Above Avg</v>
      </c>
      <c r="K66">
        <f>RANK(Table1[[#This Row],[Total]],Table1[Total],0)</f>
        <v>164</v>
      </c>
      <c r="L66" t="str">
        <f t="shared" si="4"/>
        <v>No</v>
      </c>
    </row>
    <row r="67" spans="1:12" x14ac:dyDescent="0.3">
      <c r="A67">
        <v>166</v>
      </c>
      <c r="B67" t="s">
        <v>14</v>
      </c>
      <c r="C67">
        <v>41</v>
      </c>
      <c r="D67">
        <v>65</v>
      </c>
      <c r="E67">
        <v>32</v>
      </c>
      <c r="F67">
        <f t="shared" si="7"/>
        <v>138</v>
      </c>
      <c r="G67">
        <f t="shared" si="8"/>
        <v>46</v>
      </c>
      <c r="H67" t="str">
        <f>IF(Table1[[#This Row],[Percentage]]&gt;=80,"A",IF(Table1[[#This Row],[Percentage]]&gt;=60,"B",IF(Table1[[#This Row],[Percentage]]&gt;=40,"C","F")))</f>
        <v>C</v>
      </c>
      <c r="I67" t="str">
        <f t="shared" ref="I67:I130" si="9">IF(AVERAGE(C67:E67)&gt;=40,"Pass","Fail")</f>
        <v>Pass</v>
      </c>
      <c r="J67" t="str">
        <f t="shared" ref="J67:J130" si="10">IF(G67&gt;AVERAGE($G$2:$G$501),"Above Avg","Below Avg")</f>
        <v>Below Avg</v>
      </c>
      <c r="K67">
        <f>RANK(Table1[[#This Row],[Total]],Table1[Total],0)</f>
        <v>472</v>
      </c>
      <c r="L67" t="str">
        <f t="shared" ref="L67:L130" si="11">IF(G67&gt;=75,"Yes","No")</f>
        <v>No</v>
      </c>
    </row>
    <row r="68" spans="1:12" x14ac:dyDescent="0.3">
      <c r="A68">
        <v>167</v>
      </c>
      <c r="B68" t="s">
        <v>14</v>
      </c>
      <c r="C68">
        <v>67</v>
      </c>
      <c r="D68">
        <v>71</v>
      </c>
      <c r="E68">
        <v>61</v>
      </c>
      <c r="F68">
        <f t="shared" si="7"/>
        <v>199</v>
      </c>
      <c r="G68">
        <f t="shared" si="8"/>
        <v>66.333333333333329</v>
      </c>
      <c r="H68" t="str">
        <f>IF(Table1[[#This Row],[Percentage]]&gt;=80,"A",IF(Table1[[#This Row],[Percentage]]&gt;=60,"B",IF(Table1[[#This Row],[Percentage]]&gt;=40,"C","F")))</f>
        <v>B</v>
      </c>
      <c r="I68" t="str">
        <f t="shared" si="9"/>
        <v>Pass</v>
      </c>
      <c r="J68" t="str">
        <f t="shared" si="10"/>
        <v>Above Avg</v>
      </c>
      <c r="K68">
        <f>RANK(Table1[[#This Row],[Total]],Table1[Total],0)</f>
        <v>215</v>
      </c>
      <c r="L68" t="str">
        <f t="shared" si="11"/>
        <v>No</v>
      </c>
    </row>
    <row r="69" spans="1:12" x14ac:dyDescent="0.3">
      <c r="A69">
        <v>168</v>
      </c>
      <c r="B69" t="s">
        <v>13</v>
      </c>
      <c r="C69">
        <v>72</v>
      </c>
      <c r="D69">
        <v>57</v>
      </c>
      <c r="E69">
        <v>81</v>
      </c>
      <c r="F69">
        <f t="shared" si="7"/>
        <v>210</v>
      </c>
      <c r="G69">
        <f t="shared" si="8"/>
        <v>70</v>
      </c>
      <c r="H69" t="str">
        <f>IF(Table1[[#This Row],[Percentage]]&gt;=80,"A",IF(Table1[[#This Row],[Percentage]]&gt;=60,"B",IF(Table1[[#This Row],[Percentage]]&gt;=40,"C","F")))</f>
        <v>B</v>
      </c>
      <c r="I69" t="str">
        <f t="shared" si="9"/>
        <v>Pass</v>
      </c>
      <c r="J69" t="str">
        <f t="shared" si="10"/>
        <v>Above Avg</v>
      </c>
      <c r="K69">
        <f>RANK(Table1[[#This Row],[Total]],Table1[Total],0)</f>
        <v>160</v>
      </c>
      <c r="L69" t="str">
        <f t="shared" si="11"/>
        <v>No</v>
      </c>
    </row>
    <row r="70" spans="1:12" x14ac:dyDescent="0.3">
      <c r="A70">
        <v>169</v>
      </c>
      <c r="B70" t="s">
        <v>9</v>
      </c>
      <c r="C70">
        <v>98</v>
      </c>
      <c r="D70">
        <v>56</v>
      </c>
      <c r="E70">
        <v>89</v>
      </c>
      <c r="F70">
        <f t="shared" si="7"/>
        <v>243</v>
      </c>
      <c r="G70">
        <f t="shared" si="8"/>
        <v>81</v>
      </c>
      <c r="H70" t="str">
        <f>IF(Table1[[#This Row],[Percentage]]&gt;=80,"A",IF(Table1[[#This Row],[Percentage]]&gt;=60,"B",IF(Table1[[#This Row],[Percentage]]&gt;=40,"C","F")))</f>
        <v>A</v>
      </c>
      <c r="I70" t="str">
        <f t="shared" si="9"/>
        <v>Pass</v>
      </c>
      <c r="J70" t="str">
        <f t="shared" si="10"/>
        <v>Above Avg</v>
      </c>
      <c r="K70">
        <f>RANK(Table1[[#This Row],[Total]],Table1[Total],0)</f>
        <v>46</v>
      </c>
      <c r="L70" t="str">
        <f t="shared" si="11"/>
        <v>Yes</v>
      </c>
    </row>
    <row r="71" spans="1:12" x14ac:dyDescent="0.3">
      <c r="A71">
        <v>170</v>
      </c>
      <c r="B71" t="s">
        <v>9</v>
      </c>
      <c r="C71">
        <v>50</v>
      </c>
      <c r="D71">
        <v>61</v>
      </c>
      <c r="E71">
        <v>85</v>
      </c>
      <c r="F71">
        <f t="shared" si="7"/>
        <v>196</v>
      </c>
      <c r="G71">
        <f t="shared" si="8"/>
        <v>65.333333333333329</v>
      </c>
      <c r="H71" t="str">
        <f>IF(Table1[[#This Row],[Percentage]]&gt;=80,"A",IF(Table1[[#This Row],[Percentage]]&gt;=60,"B",IF(Table1[[#This Row],[Percentage]]&gt;=40,"C","F")))</f>
        <v>B</v>
      </c>
      <c r="I71" t="str">
        <f t="shared" si="9"/>
        <v>Pass</v>
      </c>
      <c r="J71" t="str">
        <f t="shared" si="10"/>
        <v>Above Avg</v>
      </c>
      <c r="K71">
        <f>RANK(Table1[[#This Row],[Total]],Table1[Total],0)</f>
        <v>235</v>
      </c>
      <c r="L71" t="str">
        <f t="shared" si="11"/>
        <v>No</v>
      </c>
    </row>
    <row r="72" spans="1:12" x14ac:dyDescent="0.3">
      <c r="A72">
        <v>171</v>
      </c>
      <c r="B72" t="s">
        <v>14</v>
      </c>
      <c r="C72">
        <v>50</v>
      </c>
      <c r="D72">
        <v>83</v>
      </c>
      <c r="E72">
        <v>36</v>
      </c>
      <c r="F72">
        <f t="shared" si="7"/>
        <v>169</v>
      </c>
      <c r="G72">
        <f t="shared" si="8"/>
        <v>56.333333333333336</v>
      </c>
      <c r="H72" t="str">
        <f>IF(Table1[[#This Row],[Percentage]]&gt;=80,"A",IF(Table1[[#This Row],[Percentage]]&gt;=60,"B",IF(Table1[[#This Row],[Percentage]]&gt;=40,"C","F")))</f>
        <v>C</v>
      </c>
      <c r="I72" t="str">
        <f t="shared" si="9"/>
        <v>Pass</v>
      </c>
      <c r="J72" t="str">
        <f t="shared" si="10"/>
        <v>Below Avg</v>
      </c>
      <c r="K72">
        <f>RANK(Table1[[#This Row],[Total]],Table1[Total],0)</f>
        <v>370</v>
      </c>
      <c r="L72" t="str">
        <f t="shared" si="11"/>
        <v>No</v>
      </c>
    </row>
    <row r="73" spans="1:12" x14ac:dyDescent="0.3">
      <c r="A73">
        <v>172</v>
      </c>
      <c r="B73" t="s">
        <v>15</v>
      </c>
      <c r="C73">
        <v>48</v>
      </c>
      <c r="D73">
        <v>41</v>
      </c>
      <c r="E73">
        <v>59</v>
      </c>
      <c r="F73">
        <f t="shared" si="7"/>
        <v>148</v>
      </c>
      <c r="G73">
        <f t="shared" si="8"/>
        <v>49.333333333333336</v>
      </c>
      <c r="H73" t="str">
        <f>IF(Table1[[#This Row],[Percentage]]&gt;=80,"A",IF(Table1[[#This Row],[Percentage]]&gt;=60,"B",IF(Table1[[#This Row],[Percentage]]&gt;=40,"C","F")))</f>
        <v>C</v>
      </c>
      <c r="I73" t="str">
        <f t="shared" si="9"/>
        <v>Pass</v>
      </c>
      <c r="J73" t="str">
        <f t="shared" si="10"/>
        <v>Below Avg</v>
      </c>
      <c r="K73">
        <f>RANK(Table1[[#This Row],[Total]],Table1[Total],0)</f>
        <v>449</v>
      </c>
      <c r="L73" t="str">
        <f t="shared" si="11"/>
        <v>No</v>
      </c>
    </row>
    <row r="74" spans="1:12" x14ac:dyDescent="0.3">
      <c r="A74">
        <v>173</v>
      </c>
      <c r="B74" t="s">
        <v>13</v>
      </c>
      <c r="C74">
        <v>40</v>
      </c>
      <c r="D74">
        <v>52</v>
      </c>
      <c r="E74">
        <v>82</v>
      </c>
      <c r="F74">
        <f t="shared" si="7"/>
        <v>174</v>
      </c>
      <c r="G74">
        <f t="shared" si="8"/>
        <v>58</v>
      </c>
      <c r="H74" t="str">
        <f>IF(Table1[[#This Row],[Percentage]]&gt;=80,"A",IF(Table1[[#This Row],[Percentage]]&gt;=60,"B",IF(Table1[[#This Row],[Percentage]]&gt;=40,"C","F")))</f>
        <v>C</v>
      </c>
      <c r="I74" t="str">
        <f t="shared" si="9"/>
        <v>Pass</v>
      </c>
      <c r="J74" t="str">
        <f t="shared" si="10"/>
        <v>Below Avg</v>
      </c>
      <c r="K74">
        <f>RANK(Table1[[#This Row],[Total]],Table1[Total],0)</f>
        <v>340</v>
      </c>
      <c r="L74" t="str">
        <f t="shared" si="11"/>
        <v>No</v>
      </c>
    </row>
    <row r="75" spans="1:12" x14ac:dyDescent="0.3">
      <c r="A75">
        <v>174</v>
      </c>
      <c r="B75" t="s">
        <v>8</v>
      </c>
      <c r="C75">
        <v>77</v>
      </c>
      <c r="D75">
        <v>49</v>
      </c>
      <c r="E75">
        <v>62</v>
      </c>
      <c r="F75">
        <f t="shared" si="7"/>
        <v>188</v>
      </c>
      <c r="G75">
        <f t="shared" si="8"/>
        <v>62.666666666666664</v>
      </c>
      <c r="H75" t="str">
        <f>IF(Table1[[#This Row],[Percentage]]&gt;=80,"A",IF(Table1[[#This Row],[Percentage]]&gt;=60,"B",IF(Table1[[#This Row],[Percentage]]&gt;=40,"C","F")))</f>
        <v>B</v>
      </c>
      <c r="I75" t="str">
        <f t="shared" si="9"/>
        <v>Pass</v>
      </c>
      <c r="J75" t="str">
        <f t="shared" si="10"/>
        <v>Below Avg</v>
      </c>
      <c r="K75">
        <f>RANK(Table1[[#This Row],[Total]],Table1[Total],0)</f>
        <v>277</v>
      </c>
      <c r="L75" t="str">
        <f t="shared" si="11"/>
        <v>No</v>
      </c>
    </row>
    <row r="76" spans="1:12" x14ac:dyDescent="0.3">
      <c r="A76">
        <v>175</v>
      </c>
      <c r="B76" t="s">
        <v>9</v>
      </c>
      <c r="C76">
        <v>80</v>
      </c>
      <c r="D76">
        <v>92</v>
      </c>
      <c r="E76">
        <v>78</v>
      </c>
      <c r="F76">
        <f t="shared" si="7"/>
        <v>250</v>
      </c>
      <c r="G76">
        <f t="shared" si="8"/>
        <v>83.333333333333329</v>
      </c>
      <c r="H76" t="str">
        <f>IF(Table1[[#This Row],[Percentage]]&gt;=80,"A",IF(Table1[[#This Row],[Percentage]]&gt;=60,"B",IF(Table1[[#This Row],[Percentage]]&gt;=40,"C","F")))</f>
        <v>A</v>
      </c>
      <c r="I76" t="str">
        <f t="shared" si="9"/>
        <v>Pass</v>
      </c>
      <c r="J76" t="str">
        <f t="shared" si="10"/>
        <v>Above Avg</v>
      </c>
      <c r="K76">
        <f>RANK(Table1[[#This Row],[Total]],Table1[Total],0)</f>
        <v>33</v>
      </c>
      <c r="L76" t="str">
        <f t="shared" si="11"/>
        <v>Yes</v>
      </c>
    </row>
    <row r="77" spans="1:12" x14ac:dyDescent="0.3">
      <c r="A77">
        <v>176</v>
      </c>
      <c r="B77" t="s">
        <v>14</v>
      </c>
      <c r="C77">
        <v>97</v>
      </c>
      <c r="D77">
        <v>39</v>
      </c>
      <c r="E77">
        <v>61</v>
      </c>
      <c r="F77">
        <f t="shared" si="7"/>
        <v>197</v>
      </c>
      <c r="G77">
        <f t="shared" si="8"/>
        <v>65.666666666666671</v>
      </c>
      <c r="H77" t="str">
        <f>IF(Table1[[#This Row],[Percentage]]&gt;=80,"A",IF(Table1[[#This Row],[Percentage]]&gt;=60,"B",IF(Table1[[#This Row],[Percentage]]&gt;=40,"C","F")))</f>
        <v>B</v>
      </c>
      <c r="I77" t="str">
        <f t="shared" si="9"/>
        <v>Pass</v>
      </c>
      <c r="J77" t="str">
        <f t="shared" si="10"/>
        <v>Above Avg</v>
      </c>
      <c r="K77">
        <f>RANK(Table1[[#This Row],[Total]],Table1[Total],0)</f>
        <v>224</v>
      </c>
      <c r="L77" t="str">
        <f t="shared" si="11"/>
        <v>No</v>
      </c>
    </row>
    <row r="78" spans="1:12" x14ac:dyDescent="0.3">
      <c r="A78">
        <v>177</v>
      </c>
      <c r="B78" t="s">
        <v>14</v>
      </c>
      <c r="C78">
        <v>52</v>
      </c>
      <c r="D78">
        <v>42</v>
      </c>
      <c r="E78">
        <v>86</v>
      </c>
      <c r="F78">
        <f t="shared" si="7"/>
        <v>180</v>
      </c>
      <c r="G78">
        <f t="shared" si="8"/>
        <v>60</v>
      </c>
      <c r="H78" t="str">
        <f>IF(Table1[[#This Row],[Percentage]]&gt;=80,"A",IF(Table1[[#This Row],[Percentage]]&gt;=60,"B",IF(Table1[[#This Row],[Percentage]]&gt;=40,"C","F")))</f>
        <v>B</v>
      </c>
      <c r="I78" t="str">
        <f t="shared" si="9"/>
        <v>Pass</v>
      </c>
      <c r="J78" t="str">
        <f t="shared" si="10"/>
        <v>Below Avg</v>
      </c>
      <c r="K78">
        <f>RANK(Table1[[#This Row],[Total]],Table1[Total],0)</f>
        <v>318</v>
      </c>
      <c r="L78" t="str">
        <f t="shared" si="11"/>
        <v>No</v>
      </c>
    </row>
    <row r="79" spans="1:12" x14ac:dyDescent="0.3">
      <c r="A79">
        <v>178</v>
      </c>
      <c r="B79" t="s">
        <v>14</v>
      </c>
      <c r="C79">
        <v>67</v>
      </c>
      <c r="D79">
        <v>50</v>
      </c>
      <c r="E79">
        <v>51</v>
      </c>
      <c r="F79">
        <f t="shared" si="7"/>
        <v>168</v>
      </c>
      <c r="G79">
        <f t="shared" si="8"/>
        <v>56</v>
      </c>
      <c r="H79" t="str">
        <f>IF(Table1[[#This Row],[Percentage]]&gt;=80,"A",IF(Table1[[#This Row],[Percentage]]&gt;=60,"B",IF(Table1[[#This Row],[Percentage]]&gt;=40,"C","F")))</f>
        <v>C</v>
      </c>
      <c r="I79" t="str">
        <f t="shared" si="9"/>
        <v>Pass</v>
      </c>
      <c r="J79" t="str">
        <f t="shared" si="10"/>
        <v>Below Avg</v>
      </c>
      <c r="K79">
        <f>RANK(Table1[[#This Row],[Total]],Table1[Total],0)</f>
        <v>377</v>
      </c>
      <c r="L79" t="str">
        <f t="shared" si="11"/>
        <v>No</v>
      </c>
    </row>
    <row r="80" spans="1:12" x14ac:dyDescent="0.3">
      <c r="A80">
        <v>179</v>
      </c>
      <c r="B80" t="s">
        <v>10</v>
      </c>
      <c r="C80">
        <v>85</v>
      </c>
      <c r="D80">
        <v>99</v>
      </c>
      <c r="E80">
        <v>93</v>
      </c>
      <c r="F80">
        <f t="shared" si="7"/>
        <v>277</v>
      </c>
      <c r="G80">
        <f t="shared" si="8"/>
        <v>92.333333333333329</v>
      </c>
      <c r="H80" t="str">
        <f>IF(Table1[[#This Row],[Percentage]]&gt;=80,"A",IF(Table1[[#This Row],[Percentage]]&gt;=60,"B",IF(Table1[[#This Row],[Percentage]]&gt;=40,"C","F")))</f>
        <v>A</v>
      </c>
      <c r="I80" t="str">
        <f t="shared" si="9"/>
        <v>Pass</v>
      </c>
      <c r="J80" t="str">
        <f t="shared" si="10"/>
        <v>Above Avg</v>
      </c>
      <c r="K80">
        <f>RANK(Table1[[#This Row],[Total]],Table1[Total],0)</f>
        <v>1</v>
      </c>
      <c r="L80" t="str">
        <f t="shared" si="11"/>
        <v>Yes</v>
      </c>
    </row>
    <row r="81" spans="1:12" x14ac:dyDescent="0.3">
      <c r="A81">
        <v>180</v>
      </c>
      <c r="B81" t="s">
        <v>11</v>
      </c>
      <c r="C81">
        <v>88</v>
      </c>
      <c r="D81">
        <v>71</v>
      </c>
      <c r="E81">
        <v>33</v>
      </c>
      <c r="F81">
        <f t="shared" si="7"/>
        <v>192</v>
      </c>
      <c r="G81">
        <f t="shared" si="8"/>
        <v>64</v>
      </c>
      <c r="H81" t="str">
        <f>IF(Table1[[#This Row],[Percentage]]&gt;=80,"A",IF(Table1[[#This Row],[Percentage]]&gt;=60,"B",IF(Table1[[#This Row],[Percentage]]&gt;=40,"C","F")))</f>
        <v>B</v>
      </c>
      <c r="I81" t="str">
        <f t="shared" si="9"/>
        <v>Pass</v>
      </c>
      <c r="J81" t="str">
        <f t="shared" si="10"/>
        <v>Below Avg</v>
      </c>
      <c r="K81">
        <f>RANK(Table1[[#This Row],[Total]],Table1[Total],0)</f>
        <v>259</v>
      </c>
      <c r="L81" t="str">
        <f t="shared" si="11"/>
        <v>No</v>
      </c>
    </row>
    <row r="82" spans="1:12" x14ac:dyDescent="0.3">
      <c r="A82">
        <v>181</v>
      </c>
      <c r="B82" t="s">
        <v>9</v>
      </c>
      <c r="C82">
        <v>31</v>
      </c>
      <c r="D82">
        <v>76</v>
      </c>
      <c r="E82">
        <v>78</v>
      </c>
      <c r="F82">
        <f t="shared" si="7"/>
        <v>185</v>
      </c>
      <c r="G82">
        <f t="shared" si="8"/>
        <v>61.666666666666664</v>
      </c>
      <c r="H82" t="str">
        <f>IF(Table1[[#This Row],[Percentage]]&gt;=80,"A",IF(Table1[[#This Row],[Percentage]]&gt;=60,"B",IF(Table1[[#This Row],[Percentage]]&gt;=40,"C","F")))</f>
        <v>B</v>
      </c>
      <c r="I82" t="str">
        <f t="shared" si="9"/>
        <v>Pass</v>
      </c>
      <c r="J82" t="str">
        <f t="shared" si="10"/>
        <v>Below Avg</v>
      </c>
      <c r="K82">
        <f>RANK(Table1[[#This Row],[Total]],Table1[Total],0)</f>
        <v>292</v>
      </c>
      <c r="L82" t="str">
        <f t="shared" si="11"/>
        <v>No</v>
      </c>
    </row>
    <row r="83" spans="1:12" x14ac:dyDescent="0.3">
      <c r="A83">
        <v>182</v>
      </c>
      <c r="B83" t="s">
        <v>14</v>
      </c>
      <c r="C83">
        <v>58</v>
      </c>
      <c r="D83">
        <v>57</v>
      </c>
      <c r="E83">
        <v>59</v>
      </c>
      <c r="F83">
        <f t="shared" si="7"/>
        <v>174</v>
      </c>
      <c r="G83">
        <f t="shared" si="8"/>
        <v>58</v>
      </c>
      <c r="H83" t="str">
        <f>IF(Table1[[#This Row],[Percentage]]&gt;=80,"A",IF(Table1[[#This Row],[Percentage]]&gt;=60,"B",IF(Table1[[#This Row],[Percentage]]&gt;=40,"C","F")))</f>
        <v>C</v>
      </c>
      <c r="I83" t="str">
        <f t="shared" si="9"/>
        <v>Pass</v>
      </c>
      <c r="J83" t="str">
        <f t="shared" si="10"/>
        <v>Below Avg</v>
      </c>
      <c r="K83">
        <f>RANK(Table1[[#This Row],[Total]],Table1[Total],0)</f>
        <v>340</v>
      </c>
      <c r="L83" t="str">
        <f t="shared" si="11"/>
        <v>No</v>
      </c>
    </row>
    <row r="84" spans="1:12" x14ac:dyDescent="0.3">
      <c r="A84">
        <v>183</v>
      </c>
      <c r="B84" t="s">
        <v>12</v>
      </c>
      <c r="C84">
        <v>79</v>
      </c>
      <c r="D84">
        <v>66</v>
      </c>
      <c r="E84">
        <v>35</v>
      </c>
      <c r="F84">
        <f t="shared" si="7"/>
        <v>180</v>
      </c>
      <c r="G84">
        <f t="shared" si="8"/>
        <v>60</v>
      </c>
      <c r="H84" t="str">
        <f>IF(Table1[[#This Row],[Percentage]]&gt;=80,"A",IF(Table1[[#This Row],[Percentage]]&gt;=60,"B",IF(Table1[[#This Row],[Percentage]]&gt;=40,"C","F")))</f>
        <v>B</v>
      </c>
      <c r="I84" t="str">
        <f t="shared" si="9"/>
        <v>Pass</v>
      </c>
      <c r="J84" t="str">
        <f t="shared" si="10"/>
        <v>Below Avg</v>
      </c>
      <c r="K84">
        <f>RANK(Table1[[#This Row],[Total]],Table1[Total],0)</f>
        <v>318</v>
      </c>
      <c r="L84" t="str">
        <f t="shared" si="11"/>
        <v>No</v>
      </c>
    </row>
    <row r="85" spans="1:12" x14ac:dyDescent="0.3">
      <c r="A85">
        <v>184</v>
      </c>
      <c r="B85" t="s">
        <v>12</v>
      </c>
      <c r="C85">
        <v>78</v>
      </c>
      <c r="D85">
        <v>73</v>
      </c>
      <c r="E85">
        <v>36</v>
      </c>
      <c r="F85">
        <f t="shared" si="7"/>
        <v>187</v>
      </c>
      <c r="G85">
        <f t="shared" si="8"/>
        <v>62.333333333333336</v>
      </c>
      <c r="H85" t="str">
        <f>IF(Table1[[#This Row],[Percentage]]&gt;=80,"A",IF(Table1[[#This Row],[Percentage]]&gt;=60,"B",IF(Table1[[#This Row],[Percentage]]&gt;=40,"C","F")))</f>
        <v>B</v>
      </c>
      <c r="I85" t="str">
        <f t="shared" si="9"/>
        <v>Pass</v>
      </c>
      <c r="J85" t="str">
        <f t="shared" si="10"/>
        <v>Below Avg</v>
      </c>
      <c r="K85">
        <f>RANK(Table1[[#This Row],[Total]],Table1[Total],0)</f>
        <v>281</v>
      </c>
      <c r="L85" t="str">
        <f t="shared" si="11"/>
        <v>No</v>
      </c>
    </row>
    <row r="86" spans="1:12" x14ac:dyDescent="0.3">
      <c r="A86">
        <v>185</v>
      </c>
      <c r="B86" t="s">
        <v>8</v>
      </c>
      <c r="C86">
        <v>31</v>
      </c>
      <c r="D86">
        <v>36</v>
      </c>
      <c r="E86">
        <v>68</v>
      </c>
      <c r="F86">
        <f t="shared" si="7"/>
        <v>135</v>
      </c>
      <c r="G86">
        <f t="shared" si="8"/>
        <v>45</v>
      </c>
      <c r="H86" t="str">
        <f>IF(Table1[[#This Row],[Percentage]]&gt;=80,"A",IF(Table1[[#This Row],[Percentage]]&gt;=60,"B",IF(Table1[[#This Row],[Percentage]]&gt;=40,"C","F")))</f>
        <v>C</v>
      </c>
      <c r="I86" t="str">
        <f t="shared" si="9"/>
        <v>Pass</v>
      </c>
      <c r="J86" t="str">
        <f t="shared" si="10"/>
        <v>Below Avg</v>
      </c>
      <c r="K86">
        <f>RANK(Table1[[#This Row],[Total]],Table1[Total],0)</f>
        <v>477</v>
      </c>
      <c r="L86" t="str">
        <f t="shared" si="11"/>
        <v>No</v>
      </c>
    </row>
    <row r="87" spans="1:12" x14ac:dyDescent="0.3">
      <c r="A87">
        <v>186</v>
      </c>
      <c r="B87" t="s">
        <v>15</v>
      </c>
      <c r="C87">
        <v>51</v>
      </c>
      <c r="D87">
        <v>32</v>
      </c>
      <c r="E87">
        <v>42</v>
      </c>
      <c r="F87">
        <f t="shared" si="7"/>
        <v>125</v>
      </c>
      <c r="G87">
        <f t="shared" si="8"/>
        <v>41.666666666666664</v>
      </c>
      <c r="H87" t="str">
        <f>IF(Table1[[#This Row],[Percentage]]&gt;=80,"A",IF(Table1[[#This Row],[Percentage]]&gt;=60,"B",IF(Table1[[#This Row],[Percentage]]&gt;=40,"C","F")))</f>
        <v>C</v>
      </c>
      <c r="I87" t="str">
        <f t="shared" si="9"/>
        <v>Pass</v>
      </c>
      <c r="J87" t="str">
        <f t="shared" si="10"/>
        <v>Below Avg</v>
      </c>
      <c r="K87">
        <f>RANK(Table1[[#This Row],[Total]],Table1[Total],0)</f>
        <v>491</v>
      </c>
      <c r="L87" t="str">
        <f t="shared" si="11"/>
        <v>No</v>
      </c>
    </row>
    <row r="88" spans="1:12" x14ac:dyDescent="0.3">
      <c r="A88">
        <v>187</v>
      </c>
      <c r="B88" t="s">
        <v>14</v>
      </c>
      <c r="C88">
        <v>78</v>
      </c>
      <c r="D88">
        <v>99</v>
      </c>
      <c r="E88">
        <v>41</v>
      </c>
      <c r="F88">
        <f t="shared" si="7"/>
        <v>218</v>
      </c>
      <c r="G88">
        <f t="shared" si="8"/>
        <v>72.666666666666671</v>
      </c>
      <c r="H88" t="str">
        <f>IF(Table1[[#This Row],[Percentage]]&gt;=80,"A",IF(Table1[[#This Row],[Percentage]]&gt;=60,"B",IF(Table1[[#This Row],[Percentage]]&gt;=40,"C","F")))</f>
        <v>B</v>
      </c>
      <c r="I88" t="str">
        <f t="shared" si="9"/>
        <v>Pass</v>
      </c>
      <c r="J88" t="str">
        <f t="shared" si="10"/>
        <v>Above Avg</v>
      </c>
      <c r="K88">
        <f>RANK(Table1[[#This Row],[Total]],Table1[Total],0)</f>
        <v>120</v>
      </c>
      <c r="L88" t="str">
        <f t="shared" si="11"/>
        <v>No</v>
      </c>
    </row>
    <row r="89" spans="1:12" x14ac:dyDescent="0.3">
      <c r="A89">
        <v>188</v>
      </c>
      <c r="B89" t="s">
        <v>15</v>
      </c>
      <c r="C89">
        <v>39</v>
      </c>
      <c r="D89">
        <v>55</v>
      </c>
      <c r="E89">
        <v>31</v>
      </c>
      <c r="F89">
        <f t="shared" si="7"/>
        <v>125</v>
      </c>
      <c r="G89">
        <f t="shared" si="8"/>
        <v>41.666666666666664</v>
      </c>
      <c r="H89" t="str">
        <f>IF(Table1[[#This Row],[Percentage]]&gt;=80,"A",IF(Table1[[#This Row],[Percentage]]&gt;=60,"B",IF(Table1[[#This Row],[Percentage]]&gt;=40,"C","F")))</f>
        <v>C</v>
      </c>
      <c r="I89" t="str">
        <f t="shared" si="9"/>
        <v>Pass</v>
      </c>
      <c r="J89" t="str">
        <f t="shared" si="10"/>
        <v>Below Avg</v>
      </c>
      <c r="K89">
        <f>RANK(Table1[[#This Row],[Total]],Table1[Total],0)</f>
        <v>491</v>
      </c>
      <c r="L89" t="str">
        <f t="shared" si="11"/>
        <v>No</v>
      </c>
    </row>
    <row r="90" spans="1:12" x14ac:dyDescent="0.3">
      <c r="A90">
        <v>189</v>
      </c>
      <c r="B90" t="s">
        <v>8</v>
      </c>
      <c r="C90">
        <v>32</v>
      </c>
      <c r="D90">
        <v>85</v>
      </c>
      <c r="E90">
        <v>64</v>
      </c>
      <c r="F90">
        <f t="shared" si="7"/>
        <v>181</v>
      </c>
      <c r="G90">
        <f t="shared" si="8"/>
        <v>60.333333333333336</v>
      </c>
      <c r="H90" t="str">
        <f>IF(Table1[[#This Row],[Percentage]]&gt;=80,"A",IF(Table1[[#This Row],[Percentage]]&gt;=60,"B",IF(Table1[[#This Row],[Percentage]]&gt;=40,"C","F")))</f>
        <v>B</v>
      </c>
      <c r="I90" t="str">
        <f t="shared" si="9"/>
        <v>Pass</v>
      </c>
      <c r="J90" t="str">
        <f t="shared" si="10"/>
        <v>Below Avg</v>
      </c>
      <c r="K90">
        <f>RANK(Table1[[#This Row],[Total]],Table1[Total],0)</f>
        <v>314</v>
      </c>
      <c r="L90" t="str">
        <f t="shared" si="11"/>
        <v>No</v>
      </c>
    </row>
    <row r="91" spans="1:12" x14ac:dyDescent="0.3">
      <c r="A91">
        <v>190</v>
      </c>
      <c r="B91" t="s">
        <v>14</v>
      </c>
      <c r="C91">
        <v>80</v>
      </c>
      <c r="D91">
        <v>42</v>
      </c>
      <c r="E91">
        <v>65</v>
      </c>
      <c r="F91">
        <f t="shared" si="7"/>
        <v>187</v>
      </c>
      <c r="G91">
        <f t="shared" si="8"/>
        <v>62.333333333333336</v>
      </c>
      <c r="H91" t="str">
        <f>IF(Table1[[#This Row],[Percentage]]&gt;=80,"A",IF(Table1[[#This Row],[Percentage]]&gt;=60,"B",IF(Table1[[#This Row],[Percentage]]&gt;=40,"C","F")))</f>
        <v>B</v>
      </c>
      <c r="I91" t="str">
        <f t="shared" si="9"/>
        <v>Pass</v>
      </c>
      <c r="J91" t="str">
        <f t="shared" si="10"/>
        <v>Below Avg</v>
      </c>
      <c r="K91">
        <f>RANK(Table1[[#This Row],[Total]],Table1[Total],0)</f>
        <v>281</v>
      </c>
      <c r="L91" t="str">
        <f t="shared" si="11"/>
        <v>No</v>
      </c>
    </row>
    <row r="92" spans="1:12" x14ac:dyDescent="0.3">
      <c r="A92">
        <v>191</v>
      </c>
      <c r="B92" t="s">
        <v>15</v>
      </c>
      <c r="C92">
        <v>42</v>
      </c>
      <c r="D92">
        <v>63</v>
      </c>
      <c r="E92">
        <v>47</v>
      </c>
      <c r="F92">
        <f t="shared" si="7"/>
        <v>152</v>
      </c>
      <c r="G92">
        <f t="shared" si="8"/>
        <v>50.666666666666664</v>
      </c>
      <c r="H92" t="str">
        <f>IF(Table1[[#This Row],[Percentage]]&gt;=80,"A",IF(Table1[[#This Row],[Percentage]]&gt;=60,"B",IF(Table1[[#This Row],[Percentage]]&gt;=40,"C","F")))</f>
        <v>C</v>
      </c>
      <c r="I92" t="str">
        <f t="shared" si="9"/>
        <v>Pass</v>
      </c>
      <c r="J92" t="str">
        <f t="shared" si="10"/>
        <v>Below Avg</v>
      </c>
      <c r="K92">
        <f>RANK(Table1[[#This Row],[Total]],Table1[Total],0)</f>
        <v>440</v>
      </c>
      <c r="L92" t="str">
        <f t="shared" si="11"/>
        <v>No</v>
      </c>
    </row>
    <row r="93" spans="1:12" x14ac:dyDescent="0.3">
      <c r="A93">
        <v>192</v>
      </c>
      <c r="B93" t="s">
        <v>14</v>
      </c>
      <c r="C93">
        <v>92</v>
      </c>
      <c r="D93">
        <v>64</v>
      </c>
      <c r="E93">
        <v>58</v>
      </c>
      <c r="F93">
        <f t="shared" si="7"/>
        <v>214</v>
      </c>
      <c r="G93">
        <f t="shared" si="8"/>
        <v>71.333333333333329</v>
      </c>
      <c r="H93" t="str">
        <f>IF(Table1[[#This Row],[Percentage]]&gt;=80,"A",IF(Table1[[#This Row],[Percentage]]&gt;=60,"B",IF(Table1[[#This Row],[Percentage]]&gt;=40,"C","F")))</f>
        <v>B</v>
      </c>
      <c r="I93" t="str">
        <f t="shared" si="9"/>
        <v>Pass</v>
      </c>
      <c r="J93" t="str">
        <f t="shared" si="10"/>
        <v>Above Avg</v>
      </c>
      <c r="K93">
        <f>RANK(Table1[[#This Row],[Total]],Table1[Total],0)</f>
        <v>140</v>
      </c>
      <c r="L93" t="str">
        <f t="shared" si="11"/>
        <v>No</v>
      </c>
    </row>
    <row r="94" spans="1:12" x14ac:dyDescent="0.3">
      <c r="A94">
        <v>193</v>
      </c>
      <c r="B94" t="s">
        <v>12</v>
      </c>
      <c r="C94">
        <v>49</v>
      </c>
      <c r="D94">
        <v>58</v>
      </c>
      <c r="E94">
        <v>93</v>
      </c>
      <c r="F94">
        <f t="shared" si="7"/>
        <v>200</v>
      </c>
      <c r="G94">
        <f t="shared" si="8"/>
        <v>66.666666666666671</v>
      </c>
      <c r="H94" t="str">
        <f>IF(Table1[[#This Row],[Percentage]]&gt;=80,"A",IF(Table1[[#This Row],[Percentage]]&gt;=60,"B",IF(Table1[[#This Row],[Percentage]]&gt;=40,"C","F")))</f>
        <v>B</v>
      </c>
      <c r="I94" t="str">
        <f t="shared" si="9"/>
        <v>Pass</v>
      </c>
      <c r="J94" t="str">
        <f t="shared" si="10"/>
        <v>Above Avg</v>
      </c>
      <c r="K94">
        <f>RANK(Table1[[#This Row],[Total]],Table1[Total],0)</f>
        <v>210</v>
      </c>
      <c r="L94" t="str">
        <f t="shared" si="11"/>
        <v>No</v>
      </c>
    </row>
    <row r="95" spans="1:12" x14ac:dyDescent="0.3">
      <c r="A95">
        <v>194</v>
      </c>
      <c r="B95" t="s">
        <v>14</v>
      </c>
      <c r="C95">
        <v>50</v>
      </c>
      <c r="D95">
        <v>56</v>
      </c>
      <c r="E95">
        <v>33</v>
      </c>
      <c r="F95">
        <f t="shared" si="7"/>
        <v>139</v>
      </c>
      <c r="G95">
        <f t="shared" si="8"/>
        <v>46.333333333333336</v>
      </c>
      <c r="H95" t="str">
        <f>IF(Table1[[#This Row],[Percentage]]&gt;=80,"A",IF(Table1[[#This Row],[Percentage]]&gt;=60,"B",IF(Table1[[#This Row],[Percentage]]&gt;=40,"C","F")))</f>
        <v>C</v>
      </c>
      <c r="I95" t="str">
        <f t="shared" si="9"/>
        <v>Pass</v>
      </c>
      <c r="J95" t="str">
        <f t="shared" si="10"/>
        <v>Below Avg</v>
      </c>
      <c r="K95">
        <f>RANK(Table1[[#This Row],[Total]],Table1[Total],0)</f>
        <v>469</v>
      </c>
      <c r="L95" t="str">
        <f t="shared" si="11"/>
        <v>No</v>
      </c>
    </row>
    <row r="96" spans="1:12" x14ac:dyDescent="0.3">
      <c r="A96">
        <v>195</v>
      </c>
      <c r="B96" t="s">
        <v>11</v>
      </c>
      <c r="C96">
        <v>41</v>
      </c>
      <c r="D96">
        <v>78</v>
      </c>
      <c r="E96">
        <v>66</v>
      </c>
      <c r="F96">
        <f t="shared" si="7"/>
        <v>185</v>
      </c>
      <c r="G96">
        <f t="shared" si="8"/>
        <v>61.666666666666664</v>
      </c>
      <c r="H96" t="str">
        <f>IF(Table1[[#This Row],[Percentage]]&gt;=80,"A",IF(Table1[[#This Row],[Percentage]]&gt;=60,"B",IF(Table1[[#This Row],[Percentage]]&gt;=40,"C","F")))</f>
        <v>B</v>
      </c>
      <c r="I96" t="str">
        <f t="shared" si="9"/>
        <v>Pass</v>
      </c>
      <c r="J96" t="str">
        <f t="shared" si="10"/>
        <v>Below Avg</v>
      </c>
      <c r="K96">
        <f>RANK(Table1[[#This Row],[Total]],Table1[Total],0)</f>
        <v>292</v>
      </c>
      <c r="L96" t="str">
        <f t="shared" si="11"/>
        <v>No</v>
      </c>
    </row>
    <row r="97" spans="1:12" x14ac:dyDescent="0.3">
      <c r="A97">
        <v>196</v>
      </c>
      <c r="B97" t="s">
        <v>9</v>
      </c>
      <c r="C97">
        <v>58</v>
      </c>
      <c r="D97">
        <v>60</v>
      </c>
      <c r="E97">
        <v>41</v>
      </c>
      <c r="F97">
        <f t="shared" si="7"/>
        <v>159</v>
      </c>
      <c r="G97">
        <f t="shared" si="8"/>
        <v>53</v>
      </c>
      <c r="H97" t="str">
        <f>IF(Table1[[#This Row],[Percentage]]&gt;=80,"A",IF(Table1[[#This Row],[Percentage]]&gt;=60,"B",IF(Table1[[#This Row],[Percentage]]&gt;=40,"C","F")))</f>
        <v>C</v>
      </c>
      <c r="I97" t="str">
        <f t="shared" si="9"/>
        <v>Pass</v>
      </c>
      <c r="J97" t="str">
        <f t="shared" si="10"/>
        <v>Below Avg</v>
      </c>
      <c r="K97">
        <f>RANK(Table1[[#This Row],[Total]],Table1[Total],0)</f>
        <v>407</v>
      </c>
      <c r="L97" t="str">
        <f t="shared" si="11"/>
        <v>No</v>
      </c>
    </row>
    <row r="98" spans="1:12" x14ac:dyDescent="0.3">
      <c r="A98">
        <v>197</v>
      </c>
      <c r="B98" t="s">
        <v>15</v>
      </c>
      <c r="C98">
        <v>52</v>
      </c>
      <c r="D98">
        <v>94</v>
      </c>
      <c r="E98">
        <v>31</v>
      </c>
      <c r="F98">
        <f t="shared" si="7"/>
        <v>177</v>
      </c>
      <c r="G98">
        <f t="shared" si="8"/>
        <v>59</v>
      </c>
      <c r="H98" t="str">
        <f>IF(Table1[[#This Row],[Percentage]]&gt;=80,"A",IF(Table1[[#This Row],[Percentage]]&gt;=60,"B",IF(Table1[[#This Row],[Percentage]]&gt;=40,"C","F")))</f>
        <v>C</v>
      </c>
      <c r="I98" t="str">
        <f t="shared" si="9"/>
        <v>Pass</v>
      </c>
      <c r="J98" t="str">
        <f t="shared" si="10"/>
        <v>Below Avg</v>
      </c>
      <c r="K98">
        <f>RANK(Table1[[#This Row],[Total]],Table1[Total],0)</f>
        <v>329</v>
      </c>
      <c r="L98" t="str">
        <f t="shared" si="11"/>
        <v>No</v>
      </c>
    </row>
    <row r="99" spans="1:12" x14ac:dyDescent="0.3">
      <c r="A99">
        <v>198</v>
      </c>
      <c r="B99" t="s">
        <v>8</v>
      </c>
      <c r="C99">
        <v>71</v>
      </c>
      <c r="D99">
        <v>91</v>
      </c>
      <c r="E99">
        <v>49</v>
      </c>
      <c r="F99">
        <f t="shared" si="7"/>
        <v>211</v>
      </c>
      <c r="G99">
        <f t="shared" si="8"/>
        <v>70.333333333333329</v>
      </c>
      <c r="H99" t="str">
        <f>IF(Table1[[#This Row],[Percentage]]&gt;=80,"A",IF(Table1[[#This Row],[Percentage]]&gt;=60,"B",IF(Table1[[#This Row],[Percentage]]&gt;=40,"C","F")))</f>
        <v>B</v>
      </c>
      <c r="I99" t="str">
        <f t="shared" si="9"/>
        <v>Pass</v>
      </c>
      <c r="J99" t="str">
        <f t="shared" si="10"/>
        <v>Above Avg</v>
      </c>
      <c r="K99">
        <f>RANK(Table1[[#This Row],[Total]],Table1[Total],0)</f>
        <v>153</v>
      </c>
      <c r="L99" t="str">
        <f t="shared" si="11"/>
        <v>No</v>
      </c>
    </row>
    <row r="100" spans="1:12" x14ac:dyDescent="0.3">
      <c r="A100">
        <v>199</v>
      </c>
      <c r="B100" t="s">
        <v>11</v>
      </c>
      <c r="C100">
        <v>44</v>
      </c>
      <c r="D100">
        <v>97</v>
      </c>
      <c r="E100">
        <v>68</v>
      </c>
      <c r="F100">
        <f t="shared" si="7"/>
        <v>209</v>
      </c>
      <c r="G100">
        <f t="shared" si="8"/>
        <v>69.666666666666671</v>
      </c>
      <c r="H100" t="str">
        <f>IF(Table1[[#This Row],[Percentage]]&gt;=80,"A",IF(Table1[[#This Row],[Percentage]]&gt;=60,"B",IF(Table1[[#This Row],[Percentage]]&gt;=40,"C","F")))</f>
        <v>B</v>
      </c>
      <c r="I100" t="str">
        <f t="shared" si="9"/>
        <v>Pass</v>
      </c>
      <c r="J100" t="str">
        <f t="shared" si="10"/>
        <v>Above Avg</v>
      </c>
      <c r="K100">
        <f>RANK(Table1[[#This Row],[Total]],Table1[Total],0)</f>
        <v>164</v>
      </c>
      <c r="L100" t="str">
        <f t="shared" si="11"/>
        <v>No</v>
      </c>
    </row>
    <row r="101" spans="1:12" x14ac:dyDescent="0.3">
      <c r="A101">
        <v>200</v>
      </c>
      <c r="B101" t="s">
        <v>10</v>
      </c>
      <c r="C101">
        <v>40</v>
      </c>
      <c r="D101">
        <v>95</v>
      </c>
      <c r="E101">
        <v>44</v>
      </c>
      <c r="F101">
        <f t="shared" si="7"/>
        <v>179</v>
      </c>
      <c r="G101">
        <f t="shared" si="8"/>
        <v>59.666666666666664</v>
      </c>
      <c r="H101" t="str">
        <f>IF(Table1[[#This Row],[Percentage]]&gt;=80,"A",IF(Table1[[#This Row],[Percentage]]&gt;=60,"B",IF(Table1[[#This Row],[Percentage]]&gt;=40,"C","F")))</f>
        <v>C</v>
      </c>
      <c r="I101" t="str">
        <f t="shared" si="9"/>
        <v>Pass</v>
      </c>
      <c r="J101" t="str">
        <f t="shared" si="10"/>
        <v>Below Avg</v>
      </c>
      <c r="K101">
        <f>RANK(Table1[[#This Row],[Total]],Table1[Total],0)</f>
        <v>322</v>
      </c>
      <c r="L101" t="str">
        <f t="shared" si="11"/>
        <v>No</v>
      </c>
    </row>
    <row r="102" spans="1:12" x14ac:dyDescent="0.3">
      <c r="A102">
        <v>201</v>
      </c>
      <c r="B102" t="s">
        <v>13</v>
      </c>
      <c r="C102">
        <v>88</v>
      </c>
      <c r="D102">
        <v>95</v>
      </c>
      <c r="E102">
        <v>93</v>
      </c>
      <c r="F102">
        <f t="shared" si="7"/>
        <v>276</v>
      </c>
      <c r="G102">
        <f t="shared" si="8"/>
        <v>92</v>
      </c>
      <c r="H102" t="str">
        <f>IF(Table1[[#This Row],[Percentage]]&gt;=80,"A",IF(Table1[[#This Row],[Percentage]]&gt;=60,"B",IF(Table1[[#This Row],[Percentage]]&gt;=40,"C","F")))</f>
        <v>A</v>
      </c>
      <c r="I102" t="str">
        <f t="shared" si="9"/>
        <v>Pass</v>
      </c>
      <c r="J102" t="str">
        <f t="shared" si="10"/>
        <v>Above Avg</v>
      </c>
      <c r="K102">
        <f>RANK(Table1[[#This Row],[Total]],Table1[Total],0)</f>
        <v>2</v>
      </c>
      <c r="L102" t="str">
        <f t="shared" si="11"/>
        <v>Yes</v>
      </c>
    </row>
    <row r="103" spans="1:12" x14ac:dyDescent="0.3">
      <c r="A103">
        <v>202</v>
      </c>
      <c r="B103" t="s">
        <v>11</v>
      </c>
      <c r="C103">
        <v>52</v>
      </c>
      <c r="D103">
        <v>76</v>
      </c>
      <c r="E103">
        <v>83</v>
      </c>
      <c r="F103">
        <f t="shared" si="7"/>
        <v>211</v>
      </c>
      <c r="G103">
        <f t="shared" si="8"/>
        <v>70.333333333333329</v>
      </c>
      <c r="H103" t="str">
        <f>IF(Table1[[#This Row],[Percentage]]&gt;=80,"A",IF(Table1[[#This Row],[Percentage]]&gt;=60,"B",IF(Table1[[#This Row],[Percentage]]&gt;=40,"C","F")))</f>
        <v>B</v>
      </c>
      <c r="I103" t="str">
        <f t="shared" si="9"/>
        <v>Pass</v>
      </c>
      <c r="J103" t="str">
        <f t="shared" si="10"/>
        <v>Above Avg</v>
      </c>
      <c r="K103">
        <f>RANK(Table1[[#This Row],[Total]],Table1[Total],0)</f>
        <v>153</v>
      </c>
      <c r="L103" t="str">
        <f t="shared" si="11"/>
        <v>No</v>
      </c>
    </row>
    <row r="104" spans="1:12" x14ac:dyDescent="0.3">
      <c r="A104">
        <v>203</v>
      </c>
      <c r="B104" t="s">
        <v>14</v>
      </c>
      <c r="C104">
        <v>63</v>
      </c>
      <c r="D104">
        <v>40</v>
      </c>
      <c r="E104">
        <v>76</v>
      </c>
      <c r="F104">
        <f t="shared" si="7"/>
        <v>179</v>
      </c>
      <c r="G104">
        <f t="shared" si="8"/>
        <v>59.666666666666664</v>
      </c>
      <c r="H104" t="str">
        <f>IF(Table1[[#This Row],[Percentage]]&gt;=80,"A",IF(Table1[[#This Row],[Percentage]]&gt;=60,"B",IF(Table1[[#This Row],[Percentage]]&gt;=40,"C","F")))</f>
        <v>C</v>
      </c>
      <c r="I104" t="str">
        <f t="shared" si="9"/>
        <v>Pass</v>
      </c>
      <c r="J104" t="str">
        <f t="shared" si="10"/>
        <v>Below Avg</v>
      </c>
      <c r="K104">
        <f>RANK(Table1[[#This Row],[Total]],Table1[Total],0)</f>
        <v>322</v>
      </c>
      <c r="L104" t="str">
        <f t="shared" si="11"/>
        <v>No</v>
      </c>
    </row>
    <row r="105" spans="1:12" x14ac:dyDescent="0.3">
      <c r="A105">
        <v>204</v>
      </c>
      <c r="B105" t="s">
        <v>14</v>
      </c>
      <c r="C105">
        <v>32</v>
      </c>
      <c r="D105">
        <v>48</v>
      </c>
      <c r="E105">
        <v>59</v>
      </c>
      <c r="F105">
        <f t="shared" si="7"/>
        <v>139</v>
      </c>
      <c r="G105">
        <f t="shared" si="8"/>
        <v>46.333333333333336</v>
      </c>
      <c r="H105" t="str">
        <f>IF(Table1[[#This Row],[Percentage]]&gt;=80,"A",IF(Table1[[#This Row],[Percentage]]&gt;=60,"B",IF(Table1[[#This Row],[Percentage]]&gt;=40,"C","F")))</f>
        <v>C</v>
      </c>
      <c r="I105" t="str">
        <f t="shared" si="9"/>
        <v>Pass</v>
      </c>
      <c r="J105" t="str">
        <f t="shared" si="10"/>
        <v>Below Avg</v>
      </c>
      <c r="K105">
        <f>RANK(Table1[[#This Row],[Total]],Table1[Total],0)</f>
        <v>469</v>
      </c>
      <c r="L105" t="str">
        <f t="shared" si="11"/>
        <v>No</v>
      </c>
    </row>
    <row r="106" spans="1:12" x14ac:dyDescent="0.3">
      <c r="A106">
        <v>205</v>
      </c>
      <c r="B106" t="s">
        <v>12</v>
      </c>
      <c r="C106">
        <v>86</v>
      </c>
      <c r="D106">
        <v>100</v>
      </c>
      <c r="E106">
        <v>43</v>
      </c>
      <c r="F106">
        <f t="shared" si="7"/>
        <v>229</v>
      </c>
      <c r="G106">
        <f t="shared" si="8"/>
        <v>76.333333333333329</v>
      </c>
      <c r="H106" t="str">
        <f>IF(Table1[[#This Row],[Percentage]]&gt;=80,"A",IF(Table1[[#This Row],[Percentage]]&gt;=60,"B",IF(Table1[[#This Row],[Percentage]]&gt;=40,"C","F")))</f>
        <v>B</v>
      </c>
      <c r="I106" t="str">
        <f t="shared" si="9"/>
        <v>Pass</v>
      </c>
      <c r="J106" t="str">
        <f t="shared" si="10"/>
        <v>Above Avg</v>
      </c>
      <c r="K106">
        <f>RANK(Table1[[#This Row],[Total]],Table1[Total],0)</f>
        <v>82</v>
      </c>
      <c r="L106" t="str">
        <f t="shared" si="11"/>
        <v>Yes</v>
      </c>
    </row>
    <row r="107" spans="1:12" x14ac:dyDescent="0.3">
      <c r="A107">
        <v>206</v>
      </c>
      <c r="B107" t="s">
        <v>10</v>
      </c>
      <c r="C107">
        <v>73</v>
      </c>
      <c r="D107">
        <v>51</v>
      </c>
      <c r="E107">
        <v>91</v>
      </c>
      <c r="F107">
        <f t="shared" si="7"/>
        <v>215</v>
      </c>
      <c r="G107">
        <f t="shared" si="8"/>
        <v>71.666666666666671</v>
      </c>
      <c r="H107" t="str">
        <f>IF(Table1[[#This Row],[Percentage]]&gt;=80,"A",IF(Table1[[#This Row],[Percentage]]&gt;=60,"B",IF(Table1[[#This Row],[Percentage]]&gt;=40,"C","F")))</f>
        <v>B</v>
      </c>
      <c r="I107" t="str">
        <f t="shared" si="9"/>
        <v>Pass</v>
      </c>
      <c r="J107" t="str">
        <f t="shared" si="10"/>
        <v>Above Avg</v>
      </c>
      <c r="K107">
        <f>RANK(Table1[[#This Row],[Total]],Table1[Total],0)</f>
        <v>135</v>
      </c>
      <c r="L107" t="str">
        <f t="shared" si="11"/>
        <v>No</v>
      </c>
    </row>
    <row r="108" spans="1:12" x14ac:dyDescent="0.3">
      <c r="A108">
        <v>207</v>
      </c>
      <c r="B108" t="s">
        <v>8</v>
      </c>
      <c r="C108">
        <v>87</v>
      </c>
      <c r="D108">
        <v>67</v>
      </c>
      <c r="E108">
        <v>72</v>
      </c>
      <c r="F108">
        <f t="shared" si="7"/>
        <v>226</v>
      </c>
      <c r="G108">
        <f t="shared" si="8"/>
        <v>75.333333333333329</v>
      </c>
      <c r="H108" t="str">
        <f>IF(Table1[[#This Row],[Percentage]]&gt;=80,"A",IF(Table1[[#This Row],[Percentage]]&gt;=60,"B",IF(Table1[[#This Row],[Percentage]]&gt;=40,"C","F")))</f>
        <v>B</v>
      </c>
      <c r="I108" t="str">
        <f t="shared" si="9"/>
        <v>Pass</v>
      </c>
      <c r="J108" t="str">
        <f t="shared" si="10"/>
        <v>Above Avg</v>
      </c>
      <c r="K108">
        <f>RANK(Table1[[#This Row],[Total]],Table1[Total],0)</f>
        <v>89</v>
      </c>
      <c r="L108" t="str">
        <f t="shared" si="11"/>
        <v>Yes</v>
      </c>
    </row>
    <row r="109" spans="1:12" x14ac:dyDescent="0.3">
      <c r="A109">
        <v>208</v>
      </c>
      <c r="B109" t="s">
        <v>13</v>
      </c>
      <c r="C109">
        <v>80</v>
      </c>
      <c r="D109">
        <v>91</v>
      </c>
      <c r="E109">
        <v>90</v>
      </c>
      <c r="F109">
        <f t="shared" si="7"/>
        <v>261</v>
      </c>
      <c r="G109">
        <f t="shared" si="8"/>
        <v>87</v>
      </c>
      <c r="H109" t="str">
        <f>IF(Table1[[#This Row],[Percentage]]&gt;=80,"A",IF(Table1[[#This Row],[Percentage]]&gt;=60,"B",IF(Table1[[#This Row],[Percentage]]&gt;=40,"C","F")))</f>
        <v>A</v>
      </c>
      <c r="I109" t="str">
        <f t="shared" si="9"/>
        <v>Pass</v>
      </c>
      <c r="J109" t="str">
        <f t="shared" si="10"/>
        <v>Above Avg</v>
      </c>
      <c r="K109">
        <f>RANK(Table1[[#This Row],[Total]],Table1[Total],0)</f>
        <v>14</v>
      </c>
      <c r="L109" t="str">
        <f t="shared" si="11"/>
        <v>Yes</v>
      </c>
    </row>
    <row r="110" spans="1:12" x14ac:dyDescent="0.3">
      <c r="A110">
        <v>209</v>
      </c>
      <c r="B110" t="s">
        <v>14</v>
      </c>
      <c r="C110">
        <v>42</v>
      </c>
      <c r="D110">
        <v>62</v>
      </c>
      <c r="E110">
        <v>37</v>
      </c>
      <c r="F110">
        <f t="shared" si="7"/>
        <v>141</v>
      </c>
      <c r="G110">
        <f t="shared" si="8"/>
        <v>47</v>
      </c>
      <c r="H110" t="str">
        <f>IF(Table1[[#This Row],[Percentage]]&gt;=80,"A",IF(Table1[[#This Row],[Percentage]]&gt;=60,"B",IF(Table1[[#This Row],[Percentage]]&gt;=40,"C","F")))</f>
        <v>C</v>
      </c>
      <c r="I110" t="str">
        <f t="shared" si="9"/>
        <v>Pass</v>
      </c>
      <c r="J110" t="str">
        <f t="shared" si="10"/>
        <v>Below Avg</v>
      </c>
      <c r="K110">
        <f>RANK(Table1[[#This Row],[Total]],Table1[Total],0)</f>
        <v>465</v>
      </c>
      <c r="L110" t="str">
        <f t="shared" si="11"/>
        <v>No</v>
      </c>
    </row>
    <row r="111" spans="1:12" x14ac:dyDescent="0.3">
      <c r="A111">
        <v>210</v>
      </c>
      <c r="B111" t="s">
        <v>15</v>
      </c>
      <c r="C111">
        <v>61</v>
      </c>
      <c r="D111">
        <v>52</v>
      </c>
      <c r="E111">
        <v>74</v>
      </c>
      <c r="F111">
        <f t="shared" si="7"/>
        <v>187</v>
      </c>
      <c r="G111">
        <f t="shared" si="8"/>
        <v>62.333333333333336</v>
      </c>
      <c r="H111" t="str">
        <f>IF(Table1[[#This Row],[Percentage]]&gt;=80,"A",IF(Table1[[#This Row],[Percentage]]&gt;=60,"B",IF(Table1[[#This Row],[Percentage]]&gt;=40,"C","F")))</f>
        <v>B</v>
      </c>
      <c r="I111" t="str">
        <f t="shared" si="9"/>
        <v>Pass</v>
      </c>
      <c r="J111" t="str">
        <f t="shared" si="10"/>
        <v>Below Avg</v>
      </c>
      <c r="K111">
        <f>RANK(Table1[[#This Row],[Total]],Table1[Total],0)</f>
        <v>281</v>
      </c>
      <c r="L111" t="str">
        <f t="shared" si="11"/>
        <v>No</v>
      </c>
    </row>
    <row r="112" spans="1:12" x14ac:dyDescent="0.3">
      <c r="A112">
        <v>211</v>
      </c>
      <c r="B112" t="s">
        <v>8</v>
      </c>
      <c r="C112">
        <v>65</v>
      </c>
      <c r="D112">
        <v>58</v>
      </c>
      <c r="E112">
        <v>49</v>
      </c>
      <c r="F112">
        <f t="shared" si="7"/>
        <v>172</v>
      </c>
      <c r="G112">
        <f t="shared" si="8"/>
        <v>57.333333333333336</v>
      </c>
      <c r="H112" t="str">
        <f>IF(Table1[[#This Row],[Percentage]]&gt;=80,"A",IF(Table1[[#This Row],[Percentage]]&gt;=60,"B",IF(Table1[[#This Row],[Percentage]]&gt;=40,"C","F")))</f>
        <v>C</v>
      </c>
      <c r="I112" t="str">
        <f t="shared" si="9"/>
        <v>Pass</v>
      </c>
      <c r="J112" t="str">
        <f t="shared" si="10"/>
        <v>Below Avg</v>
      </c>
      <c r="K112">
        <f>RANK(Table1[[#This Row],[Total]],Table1[Total],0)</f>
        <v>351</v>
      </c>
      <c r="L112" t="str">
        <f t="shared" si="11"/>
        <v>No</v>
      </c>
    </row>
    <row r="113" spans="1:12" x14ac:dyDescent="0.3">
      <c r="A113">
        <v>212</v>
      </c>
      <c r="B113" t="s">
        <v>9</v>
      </c>
      <c r="C113">
        <v>76</v>
      </c>
      <c r="D113">
        <v>95</v>
      </c>
      <c r="E113">
        <v>84</v>
      </c>
      <c r="F113">
        <f t="shared" si="7"/>
        <v>255</v>
      </c>
      <c r="G113">
        <f t="shared" si="8"/>
        <v>85</v>
      </c>
      <c r="H113" t="str">
        <f>IF(Table1[[#This Row],[Percentage]]&gt;=80,"A",IF(Table1[[#This Row],[Percentage]]&gt;=60,"B",IF(Table1[[#This Row],[Percentage]]&gt;=40,"C","F")))</f>
        <v>A</v>
      </c>
      <c r="I113" t="str">
        <f t="shared" si="9"/>
        <v>Pass</v>
      </c>
      <c r="J113" t="str">
        <f t="shared" si="10"/>
        <v>Above Avg</v>
      </c>
      <c r="K113">
        <f>RANK(Table1[[#This Row],[Total]],Table1[Total],0)</f>
        <v>24</v>
      </c>
      <c r="L113" t="str">
        <f t="shared" si="11"/>
        <v>Yes</v>
      </c>
    </row>
    <row r="114" spans="1:12" x14ac:dyDescent="0.3">
      <c r="A114">
        <v>213</v>
      </c>
      <c r="B114" t="s">
        <v>8</v>
      </c>
      <c r="C114">
        <v>73</v>
      </c>
      <c r="D114">
        <v>56</v>
      </c>
      <c r="E114">
        <v>63</v>
      </c>
      <c r="F114">
        <f t="shared" si="7"/>
        <v>192</v>
      </c>
      <c r="G114">
        <f t="shared" si="8"/>
        <v>64</v>
      </c>
      <c r="H114" t="str">
        <f>IF(Table1[[#This Row],[Percentage]]&gt;=80,"A",IF(Table1[[#This Row],[Percentage]]&gt;=60,"B",IF(Table1[[#This Row],[Percentage]]&gt;=40,"C","F")))</f>
        <v>B</v>
      </c>
      <c r="I114" t="str">
        <f t="shared" si="9"/>
        <v>Pass</v>
      </c>
      <c r="J114" t="str">
        <f t="shared" si="10"/>
        <v>Below Avg</v>
      </c>
      <c r="K114">
        <f>RANK(Table1[[#This Row],[Total]],Table1[Total],0)</f>
        <v>259</v>
      </c>
      <c r="L114" t="str">
        <f t="shared" si="11"/>
        <v>No</v>
      </c>
    </row>
    <row r="115" spans="1:12" x14ac:dyDescent="0.3">
      <c r="A115">
        <v>214</v>
      </c>
      <c r="B115" t="s">
        <v>8</v>
      </c>
      <c r="C115">
        <v>33</v>
      </c>
      <c r="D115">
        <v>94</v>
      </c>
      <c r="E115">
        <v>57</v>
      </c>
      <c r="F115">
        <f t="shared" si="7"/>
        <v>184</v>
      </c>
      <c r="G115">
        <f t="shared" si="8"/>
        <v>61.333333333333336</v>
      </c>
      <c r="H115" t="str">
        <f>IF(Table1[[#This Row],[Percentage]]&gt;=80,"A",IF(Table1[[#This Row],[Percentage]]&gt;=60,"B",IF(Table1[[#This Row],[Percentage]]&gt;=40,"C","F")))</f>
        <v>B</v>
      </c>
      <c r="I115" t="str">
        <f t="shared" si="9"/>
        <v>Pass</v>
      </c>
      <c r="J115" t="str">
        <f t="shared" si="10"/>
        <v>Below Avg</v>
      </c>
      <c r="K115">
        <f>RANK(Table1[[#This Row],[Total]],Table1[Total],0)</f>
        <v>298</v>
      </c>
      <c r="L115" t="str">
        <f t="shared" si="11"/>
        <v>No</v>
      </c>
    </row>
    <row r="116" spans="1:12" x14ac:dyDescent="0.3">
      <c r="A116">
        <v>215</v>
      </c>
      <c r="B116" t="s">
        <v>8</v>
      </c>
      <c r="C116">
        <v>32</v>
      </c>
      <c r="D116">
        <v>62</v>
      </c>
      <c r="E116">
        <v>90</v>
      </c>
      <c r="F116">
        <f t="shared" si="7"/>
        <v>184</v>
      </c>
      <c r="G116">
        <f t="shared" si="8"/>
        <v>61.333333333333336</v>
      </c>
      <c r="H116" t="str">
        <f>IF(Table1[[#This Row],[Percentage]]&gt;=80,"A",IF(Table1[[#This Row],[Percentage]]&gt;=60,"B",IF(Table1[[#This Row],[Percentage]]&gt;=40,"C","F")))</f>
        <v>B</v>
      </c>
      <c r="I116" t="str">
        <f t="shared" si="9"/>
        <v>Pass</v>
      </c>
      <c r="J116" t="str">
        <f t="shared" si="10"/>
        <v>Below Avg</v>
      </c>
      <c r="K116">
        <f>RANK(Table1[[#This Row],[Total]],Table1[Total],0)</f>
        <v>298</v>
      </c>
      <c r="L116" t="str">
        <f t="shared" si="11"/>
        <v>No</v>
      </c>
    </row>
    <row r="117" spans="1:12" x14ac:dyDescent="0.3">
      <c r="A117">
        <v>216</v>
      </c>
      <c r="B117" t="s">
        <v>13</v>
      </c>
      <c r="C117">
        <v>89</v>
      </c>
      <c r="D117">
        <v>74</v>
      </c>
      <c r="E117">
        <v>65</v>
      </c>
      <c r="F117">
        <f t="shared" si="7"/>
        <v>228</v>
      </c>
      <c r="G117">
        <f t="shared" si="8"/>
        <v>76</v>
      </c>
      <c r="H117" t="str">
        <f>IF(Table1[[#This Row],[Percentage]]&gt;=80,"A",IF(Table1[[#This Row],[Percentage]]&gt;=60,"B",IF(Table1[[#This Row],[Percentage]]&gt;=40,"C","F")))</f>
        <v>B</v>
      </c>
      <c r="I117" t="str">
        <f t="shared" si="9"/>
        <v>Pass</v>
      </c>
      <c r="J117" t="str">
        <f t="shared" si="10"/>
        <v>Above Avg</v>
      </c>
      <c r="K117">
        <f>RANK(Table1[[#This Row],[Total]],Table1[Total],0)</f>
        <v>84</v>
      </c>
      <c r="L117" t="str">
        <f t="shared" si="11"/>
        <v>Yes</v>
      </c>
    </row>
    <row r="118" spans="1:12" x14ac:dyDescent="0.3">
      <c r="A118">
        <v>217</v>
      </c>
      <c r="B118" t="s">
        <v>8</v>
      </c>
      <c r="C118">
        <v>77</v>
      </c>
      <c r="D118">
        <v>84</v>
      </c>
      <c r="E118">
        <v>71</v>
      </c>
      <c r="F118">
        <f t="shared" si="7"/>
        <v>232</v>
      </c>
      <c r="G118">
        <f t="shared" si="8"/>
        <v>77.333333333333329</v>
      </c>
      <c r="H118" t="str">
        <f>IF(Table1[[#This Row],[Percentage]]&gt;=80,"A",IF(Table1[[#This Row],[Percentage]]&gt;=60,"B",IF(Table1[[#This Row],[Percentage]]&gt;=40,"C","F")))</f>
        <v>B</v>
      </c>
      <c r="I118" t="str">
        <f t="shared" si="9"/>
        <v>Pass</v>
      </c>
      <c r="J118" t="str">
        <f t="shared" si="10"/>
        <v>Above Avg</v>
      </c>
      <c r="K118">
        <f>RANK(Table1[[#This Row],[Total]],Table1[Total],0)</f>
        <v>70</v>
      </c>
      <c r="L118" t="str">
        <f t="shared" si="11"/>
        <v>Yes</v>
      </c>
    </row>
    <row r="119" spans="1:12" x14ac:dyDescent="0.3">
      <c r="A119">
        <v>218</v>
      </c>
      <c r="B119" t="s">
        <v>9</v>
      </c>
      <c r="C119">
        <v>73</v>
      </c>
      <c r="D119">
        <v>51</v>
      </c>
      <c r="E119">
        <v>60</v>
      </c>
      <c r="F119">
        <f t="shared" si="7"/>
        <v>184</v>
      </c>
      <c r="G119">
        <f t="shared" si="8"/>
        <v>61.333333333333336</v>
      </c>
      <c r="H119" t="str">
        <f>IF(Table1[[#This Row],[Percentage]]&gt;=80,"A",IF(Table1[[#This Row],[Percentage]]&gt;=60,"B",IF(Table1[[#This Row],[Percentage]]&gt;=40,"C","F")))</f>
        <v>B</v>
      </c>
      <c r="I119" t="str">
        <f t="shared" si="9"/>
        <v>Pass</v>
      </c>
      <c r="J119" t="str">
        <f t="shared" si="10"/>
        <v>Below Avg</v>
      </c>
      <c r="K119">
        <f>RANK(Table1[[#This Row],[Total]],Table1[Total],0)</f>
        <v>298</v>
      </c>
      <c r="L119" t="str">
        <f t="shared" si="11"/>
        <v>No</v>
      </c>
    </row>
    <row r="120" spans="1:12" x14ac:dyDescent="0.3">
      <c r="A120">
        <v>219</v>
      </c>
      <c r="B120" t="s">
        <v>9</v>
      </c>
      <c r="C120">
        <v>38</v>
      </c>
      <c r="D120">
        <v>92</v>
      </c>
      <c r="E120">
        <v>67</v>
      </c>
      <c r="F120">
        <f t="shared" si="7"/>
        <v>197</v>
      </c>
      <c r="G120">
        <f t="shared" si="8"/>
        <v>65.666666666666671</v>
      </c>
      <c r="H120" t="str">
        <f>IF(Table1[[#This Row],[Percentage]]&gt;=80,"A",IF(Table1[[#This Row],[Percentage]]&gt;=60,"B",IF(Table1[[#This Row],[Percentage]]&gt;=40,"C","F")))</f>
        <v>B</v>
      </c>
      <c r="I120" t="str">
        <f t="shared" si="9"/>
        <v>Pass</v>
      </c>
      <c r="J120" t="str">
        <f t="shared" si="10"/>
        <v>Above Avg</v>
      </c>
      <c r="K120">
        <f>RANK(Table1[[#This Row],[Total]],Table1[Total],0)</f>
        <v>224</v>
      </c>
      <c r="L120" t="str">
        <f t="shared" si="11"/>
        <v>No</v>
      </c>
    </row>
    <row r="121" spans="1:12" x14ac:dyDescent="0.3">
      <c r="A121">
        <v>220</v>
      </c>
      <c r="B121" t="s">
        <v>12</v>
      </c>
      <c r="C121">
        <v>74</v>
      </c>
      <c r="D121">
        <v>72</v>
      </c>
      <c r="E121">
        <v>86</v>
      </c>
      <c r="F121">
        <f t="shared" si="7"/>
        <v>232</v>
      </c>
      <c r="G121">
        <f t="shared" si="8"/>
        <v>77.333333333333329</v>
      </c>
      <c r="H121" t="str">
        <f>IF(Table1[[#This Row],[Percentage]]&gt;=80,"A",IF(Table1[[#This Row],[Percentage]]&gt;=60,"B",IF(Table1[[#This Row],[Percentage]]&gt;=40,"C","F")))</f>
        <v>B</v>
      </c>
      <c r="I121" t="str">
        <f t="shared" si="9"/>
        <v>Pass</v>
      </c>
      <c r="J121" t="str">
        <f t="shared" si="10"/>
        <v>Above Avg</v>
      </c>
      <c r="K121">
        <f>RANK(Table1[[#This Row],[Total]],Table1[Total],0)</f>
        <v>70</v>
      </c>
      <c r="L121" t="str">
        <f t="shared" si="11"/>
        <v>Yes</v>
      </c>
    </row>
    <row r="122" spans="1:12" x14ac:dyDescent="0.3">
      <c r="A122">
        <v>221</v>
      </c>
      <c r="B122" t="s">
        <v>13</v>
      </c>
      <c r="C122">
        <v>59</v>
      </c>
      <c r="D122">
        <v>33</v>
      </c>
      <c r="E122">
        <v>41</v>
      </c>
      <c r="F122">
        <f t="shared" si="7"/>
        <v>133</v>
      </c>
      <c r="G122">
        <f t="shared" si="8"/>
        <v>44.333333333333336</v>
      </c>
      <c r="H122" t="str">
        <f>IF(Table1[[#This Row],[Percentage]]&gt;=80,"A",IF(Table1[[#This Row],[Percentage]]&gt;=60,"B",IF(Table1[[#This Row],[Percentage]]&gt;=40,"C","F")))</f>
        <v>C</v>
      </c>
      <c r="I122" t="str">
        <f t="shared" si="9"/>
        <v>Pass</v>
      </c>
      <c r="J122" t="str">
        <f t="shared" si="10"/>
        <v>Below Avg</v>
      </c>
      <c r="K122">
        <f>RANK(Table1[[#This Row],[Total]],Table1[Total],0)</f>
        <v>480</v>
      </c>
      <c r="L122" t="str">
        <f t="shared" si="11"/>
        <v>No</v>
      </c>
    </row>
    <row r="123" spans="1:12" x14ac:dyDescent="0.3">
      <c r="A123">
        <v>222</v>
      </c>
      <c r="B123" t="s">
        <v>10</v>
      </c>
      <c r="C123">
        <v>69</v>
      </c>
      <c r="D123">
        <v>32</v>
      </c>
      <c r="E123">
        <v>36</v>
      </c>
      <c r="F123">
        <f t="shared" si="7"/>
        <v>137</v>
      </c>
      <c r="G123">
        <f t="shared" si="8"/>
        <v>45.666666666666664</v>
      </c>
      <c r="H123" t="str">
        <f>IF(Table1[[#This Row],[Percentage]]&gt;=80,"A",IF(Table1[[#This Row],[Percentage]]&gt;=60,"B",IF(Table1[[#This Row],[Percentage]]&gt;=40,"C","F")))</f>
        <v>C</v>
      </c>
      <c r="I123" t="str">
        <f t="shared" si="9"/>
        <v>Pass</v>
      </c>
      <c r="J123" t="str">
        <f t="shared" si="10"/>
        <v>Below Avg</v>
      </c>
      <c r="K123">
        <f>RANK(Table1[[#This Row],[Total]],Table1[Total],0)</f>
        <v>474</v>
      </c>
      <c r="L123" t="str">
        <f t="shared" si="11"/>
        <v>No</v>
      </c>
    </row>
    <row r="124" spans="1:12" x14ac:dyDescent="0.3">
      <c r="A124">
        <v>223</v>
      </c>
      <c r="B124" t="s">
        <v>12</v>
      </c>
      <c r="C124">
        <v>32</v>
      </c>
      <c r="D124">
        <v>41</v>
      </c>
      <c r="E124">
        <v>97</v>
      </c>
      <c r="F124">
        <f t="shared" si="7"/>
        <v>170</v>
      </c>
      <c r="G124">
        <f t="shared" si="8"/>
        <v>56.666666666666664</v>
      </c>
      <c r="H124" t="str">
        <f>IF(Table1[[#This Row],[Percentage]]&gt;=80,"A",IF(Table1[[#This Row],[Percentage]]&gt;=60,"B",IF(Table1[[#This Row],[Percentage]]&gt;=40,"C","F")))</f>
        <v>C</v>
      </c>
      <c r="I124" t="str">
        <f t="shared" si="9"/>
        <v>Pass</v>
      </c>
      <c r="J124" t="str">
        <f t="shared" si="10"/>
        <v>Below Avg</v>
      </c>
      <c r="K124">
        <f>RANK(Table1[[#This Row],[Total]],Table1[Total],0)</f>
        <v>364</v>
      </c>
      <c r="L124" t="str">
        <f t="shared" si="11"/>
        <v>No</v>
      </c>
    </row>
    <row r="125" spans="1:12" x14ac:dyDescent="0.3">
      <c r="A125">
        <v>224</v>
      </c>
      <c r="B125" t="s">
        <v>8</v>
      </c>
      <c r="C125">
        <v>53</v>
      </c>
      <c r="D125">
        <v>51</v>
      </c>
      <c r="E125">
        <v>67</v>
      </c>
      <c r="F125">
        <f t="shared" si="7"/>
        <v>171</v>
      </c>
      <c r="G125">
        <f t="shared" si="8"/>
        <v>57</v>
      </c>
      <c r="H125" t="str">
        <f>IF(Table1[[#This Row],[Percentage]]&gt;=80,"A",IF(Table1[[#This Row],[Percentage]]&gt;=60,"B",IF(Table1[[#This Row],[Percentage]]&gt;=40,"C","F")))</f>
        <v>C</v>
      </c>
      <c r="I125" t="str">
        <f t="shared" si="9"/>
        <v>Pass</v>
      </c>
      <c r="J125" t="str">
        <f t="shared" si="10"/>
        <v>Below Avg</v>
      </c>
      <c r="K125">
        <f>RANK(Table1[[#This Row],[Total]],Table1[Total],0)</f>
        <v>360</v>
      </c>
      <c r="L125" t="str">
        <f t="shared" si="11"/>
        <v>No</v>
      </c>
    </row>
    <row r="126" spans="1:12" x14ac:dyDescent="0.3">
      <c r="A126">
        <v>225</v>
      </c>
      <c r="B126" t="s">
        <v>13</v>
      </c>
      <c r="C126">
        <v>99</v>
      </c>
      <c r="D126">
        <v>59</v>
      </c>
      <c r="E126">
        <v>98</v>
      </c>
      <c r="F126">
        <f t="shared" si="7"/>
        <v>256</v>
      </c>
      <c r="G126">
        <f t="shared" si="8"/>
        <v>85.333333333333329</v>
      </c>
      <c r="H126" t="str">
        <f>IF(Table1[[#This Row],[Percentage]]&gt;=80,"A",IF(Table1[[#This Row],[Percentage]]&gt;=60,"B",IF(Table1[[#This Row],[Percentage]]&gt;=40,"C","F")))</f>
        <v>A</v>
      </c>
      <c r="I126" t="str">
        <f t="shared" si="9"/>
        <v>Pass</v>
      </c>
      <c r="J126" t="str">
        <f t="shared" si="10"/>
        <v>Above Avg</v>
      </c>
      <c r="K126">
        <f>RANK(Table1[[#This Row],[Total]],Table1[Total],0)</f>
        <v>21</v>
      </c>
      <c r="L126" t="str">
        <f t="shared" si="11"/>
        <v>Yes</v>
      </c>
    </row>
    <row r="127" spans="1:12" x14ac:dyDescent="0.3">
      <c r="A127">
        <v>226</v>
      </c>
      <c r="B127" t="s">
        <v>12</v>
      </c>
      <c r="C127">
        <v>84</v>
      </c>
      <c r="D127">
        <v>46</v>
      </c>
      <c r="E127">
        <v>63</v>
      </c>
      <c r="F127">
        <f t="shared" si="7"/>
        <v>193</v>
      </c>
      <c r="G127">
        <f t="shared" si="8"/>
        <v>64.333333333333329</v>
      </c>
      <c r="H127" t="str">
        <f>IF(Table1[[#This Row],[Percentage]]&gt;=80,"A",IF(Table1[[#This Row],[Percentage]]&gt;=60,"B",IF(Table1[[#This Row],[Percentage]]&gt;=40,"C","F")))</f>
        <v>B</v>
      </c>
      <c r="I127" t="str">
        <f t="shared" si="9"/>
        <v>Pass</v>
      </c>
      <c r="J127" t="str">
        <f t="shared" si="10"/>
        <v>Below Avg</v>
      </c>
      <c r="K127">
        <f>RANK(Table1[[#This Row],[Total]],Table1[Total],0)</f>
        <v>254</v>
      </c>
      <c r="L127" t="str">
        <f t="shared" si="11"/>
        <v>No</v>
      </c>
    </row>
    <row r="128" spans="1:12" x14ac:dyDescent="0.3">
      <c r="A128">
        <v>227</v>
      </c>
      <c r="B128" t="s">
        <v>9</v>
      </c>
      <c r="C128">
        <v>42</v>
      </c>
      <c r="D128">
        <v>63</v>
      </c>
      <c r="E128">
        <v>32</v>
      </c>
      <c r="F128">
        <f t="shared" si="7"/>
        <v>137</v>
      </c>
      <c r="G128">
        <f t="shared" si="8"/>
        <v>45.666666666666664</v>
      </c>
      <c r="H128" t="str">
        <f>IF(Table1[[#This Row],[Percentage]]&gt;=80,"A",IF(Table1[[#This Row],[Percentage]]&gt;=60,"B",IF(Table1[[#This Row],[Percentage]]&gt;=40,"C","F")))</f>
        <v>C</v>
      </c>
      <c r="I128" t="str">
        <f t="shared" si="9"/>
        <v>Pass</v>
      </c>
      <c r="J128" t="str">
        <f t="shared" si="10"/>
        <v>Below Avg</v>
      </c>
      <c r="K128">
        <f>RANK(Table1[[#This Row],[Total]],Table1[Total],0)</f>
        <v>474</v>
      </c>
      <c r="L128" t="str">
        <f t="shared" si="11"/>
        <v>No</v>
      </c>
    </row>
    <row r="129" spans="1:12" x14ac:dyDescent="0.3">
      <c r="A129">
        <v>228</v>
      </c>
      <c r="B129" t="s">
        <v>9</v>
      </c>
      <c r="C129">
        <v>62</v>
      </c>
      <c r="D129">
        <v>92</v>
      </c>
      <c r="E129">
        <v>52</v>
      </c>
      <c r="F129">
        <f t="shared" si="7"/>
        <v>206</v>
      </c>
      <c r="G129">
        <f t="shared" si="8"/>
        <v>68.666666666666671</v>
      </c>
      <c r="H129" t="str">
        <f>IF(Table1[[#This Row],[Percentage]]&gt;=80,"A",IF(Table1[[#This Row],[Percentage]]&gt;=60,"B",IF(Table1[[#This Row],[Percentage]]&gt;=40,"C","F")))</f>
        <v>B</v>
      </c>
      <c r="I129" t="str">
        <f t="shared" si="9"/>
        <v>Pass</v>
      </c>
      <c r="J129" t="str">
        <f t="shared" si="10"/>
        <v>Above Avg</v>
      </c>
      <c r="K129">
        <f>RANK(Table1[[#This Row],[Total]],Table1[Total],0)</f>
        <v>180</v>
      </c>
      <c r="L129" t="str">
        <f t="shared" si="11"/>
        <v>No</v>
      </c>
    </row>
    <row r="130" spans="1:12" x14ac:dyDescent="0.3">
      <c r="A130">
        <v>229</v>
      </c>
      <c r="B130" t="s">
        <v>15</v>
      </c>
      <c r="C130">
        <v>40</v>
      </c>
      <c r="D130">
        <v>38</v>
      </c>
      <c r="E130">
        <v>43</v>
      </c>
      <c r="F130">
        <f t="shared" ref="F130:F193" si="12">SUM(C130:E130)</f>
        <v>121</v>
      </c>
      <c r="G130">
        <f t="shared" ref="G130:G193" si="13">F130/3</f>
        <v>40.333333333333336</v>
      </c>
      <c r="H130" t="str">
        <f>IF(Table1[[#This Row],[Percentage]]&gt;=80,"A",IF(Table1[[#This Row],[Percentage]]&gt;=60,"B",IF(Table1[[#This Row],[Percentage]]&gt;=40,"C","F")))</f>
        <v>C</v>
      </c>
      <c r="I130" t="str">
        <f t="shared" si="9"/>
        <v>Pass</v>
      </c>
      <c r="J130" t="str">
        <f t="shared" si="10"/>
        <v>Below Avg</v>
      </c>
      <c r="K130">
        <f>RANK(Table1[[#This Row],[Total]],Table1[Total],0)</f>
        <v>494</v>
      </c>
      <c r="L130" t="str">
        <f t="shared" si="11"/>
        <v>No</v>
      </c>
    </row>
    <row r="131" spans="1:12" x14ac:dyDescent="0.3">
      <c r="A131">
        <v>230</v>
      </c>
      <c r="B131" t="s">
        <v>10</v>
      </c>
      <c r="C131">
        <v>100</v>
      </c>
      <c r="D131">
        <v>46</v>
      </c>
      <c r="E131">
        <v>44</v>
      </c>
      <c r="F131">
        <f t="shared" si="12"/>
        <v>190</v>
      </c>
      <c r="G131">
        <f t="shared" si="13"/>
        <v>63.333333333333336</v>
      </c>
      <c r="H131" t="str">
        <f>IF(Table1[[#This Row],[Percentage]]&gt;=80,"A",IF(Table1[[#This Row],[Percentage]]&gt;=60,"B",IF(Table1[[#This Row],[Percentage]]&gt;=40,"C","F")))</f>
        <v>B</v>
      </c>
      <c r="I131" t="str">
        <f t="shared" ref="I131:I194" si="14">IF(AVERAGE(C131:E131)&gt;=40,"Pass","Fail")</f>
        <v>Pass</v>
      </c>
      <c r="J131" t="str">
        <f t="shared" ref="J131:J194" si="15">IF(G131&gt;AVERAGE($G$2:$G$501),"Above Avg","Below Avg")</f>
        <v>Below Avg</v>
      </c>
      <c r="K131">
        <f>RANK(Table1[[#This Row],[Total]],Table1[Total],0)</f>
        <v>271</v>
      </c>
      <c r="L131" t="str">
        <f t="shared" ref="L131:L194" si="16">IF(G131&gt;=75,"Yes","No")</f>
        <v>No</v>
      </c>
    </row>
    <row r="132" spans="1:12" x14ac:dyDescent="0.3">
      <c r="A132">
        <v>231</v>
      </c>
      <c r="B132" t="s">
        <v>13</v>
      </c>
      <c r="C132">
        <v>56</v>
      </c>
      <c r="D132">
        <v>78</v>
      </c>
      <c r="E132">
        <v>50</v>
      </c>
      <c r="F132">
        <f t="shared" si="12"/>
        <v>184</v>
      </c>
      <c r="G132">
        <f t="shared" si="13"/>
        <v>61.333333333333336</v>
      </c>
      <c r="H132" t="str">
        <f>IF(Table1[[#This Row],[Percentage]]&gt;=80,"A",IF(Table1[[#This Row],[Percentage]]&gt;=60,"B",IF(Table1[[#This Row],[Percentage]]&gt;=40,"C","F")))</f>
        <v>B</v>
      </c>
      <c r="I132" t="str">
        <f t="shared" si="14"/>
        <v>Pass</v>
      </c>
      <c r="J132" t="str">
        <f t="shared" si="15"/>
        <v>Below Avg</v>
      </c>
      <c r="K132">
        <f>RANK(Table1[[#This Row],[Total]],Table1[Total],0)</f>
        <v>298</v>
      </c>
      <c r="L132" t="str">
        <f t="shared" si="16"/>
        <v>No</v>
      </c>
    </row>
    <row r="133" spans="1:12" x14ac:dyDescent="0.3">
      <c r="A133">
        <v>232</v>
      </c>
      <c r="B133" t="s">
        <v>15</v>
      </c>
      <c r="C133">
        <v>77</v>
      </c>
      <c r="D133">
        <v>96</v>
      </c>
      <c r="E133">
        <v>90</v>
      </c>
      <c r="F133">
        <f t="shared" si="12"/>
        <v>263</v>
      </c>
      <c r="G133">
        <f t="shared" si="13"/>
        <v>87.666666666666671</v>
      </c>
      <c r="H133" t="str">
        <f>IF(Table1[[#This Row],[Percentage]]&gt;=80,"A",IF(Table1[[#This Row],[Percentage]]&gt;=60,"B",IF(Table1[[#This Row],[Percentage]]&gt;=40,"C","F")))</f>
        <v>A</v>
      </c>
      <c r="I133" t="str">
        <f t="shared" si="14"/>
        <v>Pass</v>
      </c>
      <c r="J133" t="str">
        <f t="shared" si="15"/>
        <v>Above Avg</v>
      </c>
      <c r="K133">
        <f>RANK(Table1[[#This Row],[Total]],Table1[Total],0)</f>
        <v>12</v>
      </c>
      <c r="L133" t="str">
        <f t="shared" si="16"/>
        <v>Yes</v>
      </c>
    </row>
    <row r="134" spans="1:12" x14ac:dyDescent="0.3">
      <c r="A134">
        <v>233</v>
      </c>
      <c r="B134" t="s">
        <v>11</v>
      </c>
      <c r="C134">
        <v>67</v>
      </c>
      <c r="D134">
        <v>52</v>
      </c>
      <c r="E134">
        <v>40</v>
      </c>
      <c r="F134">
        <f t="shared" si="12"/>
        <v>159</v>
      </c>
      <c r="G134">
        <f t="shared" si="13"/>
        <v>53</v>
      </c>
      <c r="H134" t="str">
        <f>IF(Table1[[#This Row],[Percentage]]&gt;=80,"A",IF(Table1[[#This Row],[Percentage]]&gt;=60,"B",IF(Table1[[#This Row],[Percentage]]&gt;=40,"C","F")))</f>
        <v>C</v>
      </c>
      <c r="I134" t="str">
        <f t="shared" si="14"/>
        <v>Pass</v>
      </c>
      <c r="J134" t="str">
        <f t="shared" si="15"/>
        <v>Below Avg</v>
      </c>
      <c r="K134">
        <f>RANK(Table1[[#This Row],[Total]],Table1[Total],0)</f>
        <v>407</v>
      </c>
      <c r="L134" t="str">
        <f t="shared" si="16"/>
        <v>No</v>
      </c>
    </row>
    <row r="135" spans="1:12" x14ac:dyDescent="0.3">
      <c r="A135">
        <v>234</v>
      </c>
      <c r="B135" t="s">
        <v>12</v>
      </c>
      <c r="C135">
        <v>61</v>
      </c>
      <c r="D135">
        <v>46</v>
      </c>
      <c r="E135">
        <v>45</v>
      </c>
      <c r="F135">
        <f t="shared" si="12"/>
        <v>152</v>
      </c>
      <c r="G135">
        <f t="shared" si="13"/>
        <v>50.666666666666664</v>
      </c>
      <c r="H135" t="str">
        <f>IF(Table1[[#This Row],[Percentage]]&gt;=80,"A",IF(Table1[[#This Row],[Percentage]]&gt;=60,"B",IF(Table1[[#This Row],[Percentage]]&gt;=40,"C","F")))</f>
        <v>C</v>
      </c>
      <c r="I135" t="str">
        <f t="shared" si="14"/>
        <v>Pass</v>
      </c>
      <c r="J135" t="str">
        <f t="shared" si="15"/>
        <v>Below Avg</v>
      </c>
      <c r="K135">
        <f>RANK(Table1[[#This Row],[Total]],Table1[Total],0)</f>
        <v>440</v>
      </c>
      <c r="L135" t="str">
        <f t="shared" si="16"/>
        <v>No</v>
      </c>
    </row>
    <row r="136" spans="1:12" x14ac:dyDescent="0.3">
      <c r="A136">
        <v>235</v>
      </c>
      <c r="B136" t="s">
        <v>12</v>
      </c>
      <c r="C136">
        <v>52</v>
      </c>
      <c r="D136">
        <v>84</v>
      </c>
      <c r="E136">
        <v>61</v>
      </c>
      <c r="F136">
        <f t="shared" si="12"/>
        <v>197</v>
      </c>
      <c r="G136">
        <f t="shared" si="13"/>
        <v>65.666666666666671</v>
      </c>
      <c r="H136" t="str">
        <f>IF(Table1[[#This Row],[Percentage]]&gt;=80,"A",IF(Table1[[#This Row],[Percentage]]&gt;=60,"B",IF(Table1[[#This Row],[Percentage]]&gt;=40,"C","F")))</f>
        <v>B</v>
      </c>
      <c r="I136" t="str">
        <f t="shared" si="14"/>
        <v>Pass</v>
      </c>
      <c r="J136" t="str">
        <f t="shared" si="15"/>
        <v>Above Avg</v>
      </c>
      <c r="K136">
        <f>RANK(Table1[[#This Row],[Total]],Table1[Total],0)</f>
        <v>224</v>
      </c>
      <c r="L136" t="str">
        <f t="shared" si="16"/>
        <v>No</v>
      </c>
    </row>
    <row r="137" spans="1:12" x14ac:dyDescent="0.3">
      <c r="A137">
        <v>236</v>
      </c>
      <c r="B137" t="s">
        <v>13</v>
      </c>
      <c r="C137">
        <v>65</v>
      </c>
      <c r="D137">
        <v>31</v>
      </c>
      <c r="E137">
        <v>91</v>
      </c>
      <c r="F137">
        <f t="shared" si="12"/>
        <v>187</v>
      </c>
      <c r="G137">
        <f t="shared" si="13"/>
        <v>62.333333333333336</v>
      </c>
      <c r="H137" t="str">
        <f>IF(Table1[[#This Row],[Percentage]]&gt;=80,"A",IF(Table1[[#This Row],[Percentage]]&gt;=60,"B",IF(Table1[[#This Row],[Percentage]]&gt;=40,"C","F")))</f>
        <v>B</v>
      </c>
      <c r="I137" t="str">
        <f t="shared" si="14"/>
        <v>Pass</v>
      </c>
      <c r="J137" t="str">
        <f t="shared" si="15"/>
        <v>Below Avg</v>
      </c>
      <c r="K137">
        <f>RANK(Table1[[#This Row],[Total]],Table1[Total],0)</f>
        <v>281</v>
      </c>
      <c r="L137" t="str">
        <f t="shared" si="16"/>
        <v>No</v>
      </c>
    </row>
    <row r="138" spans="1:12" x14ac:dyDescent="0.3">
      <c r="A138">
        <v>237</v>
      </c>
      <c r="B138" t="s">
        <v>11</v>
      </c>
      <c r="C138">
        <v>58</v>
      </c>
      <c r="D138">
        <v>57</v>
      </c>
      <c r="E138">
        <v>54</v>
      </c>
      <c r="F138">
        <f t="shared" si="12"/>
        <v>169</v>
      </c>
      <c r="G138">
        <f t="shared" si="13"/>
        <v>56.333333333333336</v>
      </c>
      <c r="H138" t="str">
        <f>IF(Table1[[#This Row],[Percentage]]&gt;=80,"A",IF(Table1[[#This Row],[Percentage]]&gt;=60,"B",IF(Table1[[#This Row],[Percentage]]&gt;=40,"C","F")))</f>
        <v>C</v>
      </c>
      <c r="I138" t="str">
        <f t="shared" si="14"/>
        <v>Pass</v>
      </c>
      <c r="J138" t="str">
        <f t="shared" si="15"/>
        <v>Below Avg</v>
      </c>
      <c r="K138">
        <f>RANK(Table1[[#This Row],[Total]],Table1[Total],0)</f>
        <v>370</v>
      </c>
      <c r="L138" t="str">
        <f t="shared" si="16"/>
        <v>No</v>
      </c>
    </row>
    <row r="139" spans="1:12" x14ac:dyDescent="0.3">
      <c r="A139">
        <v>238</v>
      </c>
      <c r="B139" t="s">
        <v>10</v>
      </c>
      <c r="C139">
        <v>78</v>
      </c>
      <c r="D139">
        <v>79</v>
      </c>
      <c r="E139">
        <v>80</v>
      </c>
      <c r="F139">
        <f t="shared" si="12"/>
        <v>237</v>
      </c>
      <c r="G139">
        <f t="shared" si="13"/>
        <v>79</v>
      </c>
      <c r="H139" t="str">
        <f>IF(Table1[[#This Row],[Percentage]]&gt;=80,"A",IF(Table1[[#This Row],[Percentage]]&gt;=60,"B",IF(Table1[[#This Row],[Percentage]]&gt;=40,"C","F")))</f>
        <v>B</v>
      </c>
      <c r="I139" t="str">
        <f t="shared" si="14"/>
        <v>Pass</v>
      </c>
      <c r="J139" t="str">
        <f t="shared" si="15"/>
        <v>Above Avg</v>
      </c>
      <c r="K139">
        <f>RANK(Table1[[#This Row],[Total]],Table1[Total],0)</f>
        <v>56</v>
      </c>
      <c r="L139" t="str">
        <f t="shared" si="16"/>
        <v>Yes</v>
      </c>
    </row>
    <row r="140" spans="1:12" x14ac:dyDescent="0.3">
      <c r="A140">
        <v>239</v>
      </c>
      <c r="B140" t="s">
        <v>13</v>
      </c>
      <c r="C140">
        <v>91</v>
      </c>
      <c r="D140">
        <v>93</v>
      </c>
      <c r="E140">
        <v>68</v>
      </c>
      <c r="F140">
        <f t="shared" si="12"/>
        <v>252</v>
      </c>
      <c r="G140">
        <f t="shared" si="13"/>
        <v>84</v>
      </c>
      <c r="H140" t="str">
        <f>IF(Table1[[#This Row],[Percentage]]&gt;=80,"A",IF(Table1[[#This Row],[Percentage]]&gt;=60,"B",IF(Table1[[#This Row],[Percentage]]&gt;=40,"C","F")))</f>
        <v>A</v>
      </c>
      <c r="I140" t="str">
        <f t="shared" si="14"/>
        <v>Pass</v>
      </c>
      <c r="J140" t="str">
        <f t="shared" si="15"/>
        <v>Above Avg</v>
      </c>
      <c r="K140">
        <f>RANK(Table1[[#This Row],[Total]],Table1[Total],0)</f>
        <v>27</v>
      </c>
      <c r="L140" t="str">
        <f t="shared" si="16"/>
        <v>Yes</v>
      </c>
    </row>
    <row r="141" spans="1:12" x14ac:dyDescent="0.3">
      <c r="A141">
        <v>240</v>
      </c>
      <c r="B141" t="s">
        <v>9</v>
      </c>
      <c r="C141">
        <v>69</v>
      </c>
      <c r="D141">
        <v>61</v>
      </c>
      <c r="E141">
        <v>97</v>
      </c>
      <c r="F141">
        <f t="shared" si="12"/>
        <v>227</v>
      </c>
      <c r="G141">
        <f t="shared" si="13"/>
        <v>75.666666666666671</v>
      </c>
      <c r="H141" t="str">
        <f>IF(Table1[[#This Row],[Percentage]]&gt;=80,"A",IF(Table1[[#This Row],[Percentage]]&gt;=60,"B",IF(Table1[[#This Row],[Percentage]]&gt;=40,"C","F")))</f>
        <v>B</v>
      </c>
      <c r="I141" t="str">
        <f t="shared" si="14"/>
        <v>Pass</v>
      </c>
      <c r="J141" t="str">
        <f t="shared" si="15"/>
        <v>Above Avg</v>
      </c>
      <c r="K141">
        <f>RANK(Table1[[#This Row],[Total]],Table1[Total],0)</f>
        <v>86</v>
      </c>
      <c r="L141" t="str">
        <f t="shared" si="16"/>
        <v>Yes</v>
      </c>
    </row>
    <row r="142" spans="1:12" x14ac:dyDescent="0.3">
      <c r="A142">
        <v>241</v>
      </c>
      <c r="B142" t="s">
        <v>14</v>
      </c>
      <c r="C142">
        <v>78</v>
      </c>
      <c r="D142">
        <v>94</v>
      </c>
      <c r="E142">
        <v>47</v>
      </c>
      <c r="F142">
        <f t="shared" si="12"/>
        <v>219</v>
      </c>
      <c r="G142">
        <f t="shared" si="13"/>
        <v>73</v>
      </c>
      <c r="H142" t="str">
        <f>IF(Table1[[#This Row],[Percentage]]&gt;=80,"A",IF(Table1[[#This Row],[Percentage]]&gt;=60,"B",IF(Table1[[#This Row],[Percentage]]&gt;=40,"C","F")))</f>
        <v>B</v>
      </c>
      <c r="I142" t="str">
        <f t="shared" si="14"/>
        <v>Pass</v>
      </c>
      <c r="J142" t="str">
        <f t="shared" si="15"/>
        <v>Above Avg</v>
      </c>
      <c r="K142">
        <f>RANK(Table1[[#This Row],[Total]],Table1[Total],0)</f>
        <v>115</v>
      </c>
      <c r="L142" t="str">
        <f t="shared" si="16"/>
        <v>No</v>
      </c>
    </row>
    <row r="143" spans="1:12" x14ac:dyDescent="0.3">
      <c r="A143">
        <v>242</v>
      </c>
      <c r="B143" t="s">
        <v>9</v>
      </c>
      <c r="C143">
        <v>40</v>
      </c>
      <c r="D143">
        <v>62</v>
      </c>
      <c r="E143">
        <v>67</v>
      </c>
      <c r="F143">
        <f t="shared" si="12"/>
        <v>169</v>
      </c>
      <c r="G143">
        <f t="shared" si="13"/>
        <v>56.333333333333336</v>
      </c>
      <c r="H143" t="str">
        <f>IF(Table1[[#This Row],[Percentage]]&gt;=80,"A",IF(Table1[[#This Row],[Percentage]]&gt;=60,"B",IF(Table1[[#This Row],[Percentage]]&gt;=40,"C","F")))</f>
        <v>C</v>
      </c>
      <c r="I143" t="str">
        <f t="shared" si="14"/>
        <v>Pass</v>
      </c>
      <c r="J143" t="str">
        <f t="shared" si="15"/>
        <v>Below Avg</v>
      </c>
      <c r="K143">
        <f>RANK(Table1[[#This Row],[Total]],Table1[Total],0)</f>
        <v>370</v>
      </c>
      <c r="L143" t="str">
        <f t="shared" si="16"/>
        <v>No</v>
      </c>
    </row>
    <row r="144" spans="1:12" x14ac:dyDescent="0.3">
      <c r="A144">
        <v>243</v>
      </c>
      <c r="B144" t="s">
        <v>9</v>
      </c>
      <c r="C144">
        <v>66</v>
      </c>
      <c r="D144">
        <v>53</v>
      </c>
      <c r="E144">
        <v>67</v>
      </c>
      <c r="F144">
        <f t="shared" si="12"/>
        <v>186</v>
      </c>
      <c r="G144">
        <f t="shared" si="13"/>
        <v>62</v>
      </c>
      <c r="H144" t="str">
        <f>IF(Table1[[#This Row],[Percentage]]&gt;=80,"A",IF(Table1[[#This Row],[Percentage]]&gt;=60,"B",IF(Table1[[#This Row],[Percentage]]&gt;=40,"C","F")))</f>
        <v>B</v>
      </c>
      <c r="I144" t="str">
        <f t="shared" si="14"/>
        <v>Pass</v>
      </c>
      <c r="J144" t="str">
        <f t="shared" si="15"/>
        <v>Below Avg</v>
      </c>
      <c r="K144">
        <f>RANK(Table1[[#This Row],[Total]],Table1[Total],0)</f>
        <v>290</v>
      </c>
      <c r="L144" t="str">
        <f t="shared" si="16"/>
        <v>No</v>
      </c>
    </row>
    <row r="145" spans="1:12" x14ac:dyDescent="0.3">
      <c r="A145">
        <v>244</v>
      </c>
      <c r="B145" t="s">
        <v>11</v>
      </c>
      <c r="C145">
        <v>61</v>
      </c>
      <c r="D145">
        <v>94</v>
      </c>
      <c r="E145">
        <v>79</v>
      </c>
      <c r="F145">
        <f t="shared" si="12"/>
        <v>234</v>
      </c>
      <c r="G145">
        <f t="shared" si="13"/>
        <v>78</v>
      </c>
      <c r="H145" t="str">
        <f>IF(Table1[[#This Row],[Percentage]]&gt;=80,"A",IF(Table1[[#This Row],[Percentage]]&gt;=60,"B",IF(Table1[[#This Row],[Percentage]]&gt;=40,"C","F")))</f>
        <v>B</v>
      </c>
      <c r="I145" t="str">
        <f t="shared" si="14"/>
        <v>Pass</v>
      </c>
      <c r="J145" t="str">
        <f t="shared" si="15"/>
        <v>Above Avg</v>
      </c>
      <c r="K145">
        <f>RANK(Table1[[#This Row],[Total]],Table1[Total],0)</f>
        <v>65</v>
      </c>
      <c r="L145" t="str">
        <f t="shared" si="16"/>
        <v>Yes</v>
      </c>
    </row>
    <row r="146" spans="1:12" x14ac:dyDescent="0.3">
      <c r="A146">
        <v>245</v>
      </c>
      <c r="B146" t="s">
        <v>12</v>
      </c>
      <c r="C146">
        <v>72</v>
      </c>
      <c r="D146">
        <v>76</v>
      </c>
      <c r="E146">
        <v>59</v>
      </c>
      <c r="F146">
        <f t="shared" si="12"/>
        <v>207</v>
      </c>
      <c r="G146">
        <f t="shared" si="13"/>
        <v>69</v>
      </c>
      <c r="H146" t="str">
        <f>IF(Table1[[#This Row],[Percentage]]&gt;=80,"A",IF(Table1[[#This Row],[Percentage]]&gt;=60,"B",IF(Table1[[#This Row],[Percentage]]&gt;=40,"C","F")))</f>
        <v>B</v>
      </c>
      <c r="I146" t="str">
        <f t="shared" si="14"/>
        <v>Pass</v>
      </c>
      <c r="J146" t="str">
        <f t="shared" si="15"/>
        <v>Above Avg</v>
      </c>
      <c r="K146">
        <f>RANK(Table1[[#This Row],[Total]],Table1[Total],0)</f>
        <v>175</v>
      </c>
      <c r="L146" t="str">
        <f t="shared" si="16"/>
        <v>No</v>
      </c>
    </row>
    <row r="147" spans="1:12" x14ac:dyDescent="0.3">
      <c r="A147">
        <v>246</v>
      </c>
      <c r="B147" t="s">
        <v>12</v>
      </c>
      <c r="C147">
        <v>95</v>
      </c>
      <c r="D147">
        <v>64</v>
      </c>
      <c r="E147">
        <v>38</v>
      </c>
      <c r="F147">
        <f t="shared" si="12"/>
        <v>197</v>
      </c>
      <c r="G147">
        <f t="shared" si="13"/>
        <v>65.666666666666671</v>
      </c>
      <c r="H147" t="str">
        <f>IF(Table1[[#This Row],[Percentage]]&gt;=80,"A",IF(Table1[[#This Row],[Percentage]]&gt;=60,"B",IF(Table1[[#This Row],[Percentage]]&gt;=40,"C","F")))</f>
        <v>B</v>
      </c>
      <c r="I147" t="str">
        <f t="shared" si="14"/>
        <v>Pass</v>
      </c>
      <c r="J147" t="str">
        <f t="shared" si="15"/>
        <v>Above Avg</v>
      </c>
      <c r="K147">
        <f>RANK(Table1[[#This Row],[Total]],Table1[Total],0)</f>
        <v>224</v>
      </c>
      <c r="L147" t="str">
        <f t="shared" si="16"/>
        <v>No</v>
      </c>
    </row>
    <row r="148" spans="1:12" x14ac:dyDescent="0.3">
      <c r="A148">
        <v>247</v>
      </c>
      <c r="B148" t="s">
        <v>14</v>
      </c>
      <c r="C148">
        <v>77</v>
      </c>
      <c r="D148">
        <v>56</v>
      </c>
      <c r="E148">
        <v>73</v>
      </c>
      <c r="F148">
        <f t="shared" si="12"/>
        <v>206</v>
      </c>
      <c r="G148">
        <f t="shared" si="13"/>
        <v>68.666666666666671</v>
      </c>
      <c r="H148" t="str">
        <f>IF(Table1[[#This Row],[Percentage]]&gt;=80,"A",IF(Table1[[#This Row],[Percentage]]&gt;=60,"B",IF(Table1[[#This Row],[Percentage]]&gt;=40,"C","F")))</f>
        <v>B</v>
      </c>
      <c r="I148" t="str">
        <f t="shared" si="14"/>
        <v>Pass</v>
      </c>
      <c r="J148" t="str">
        <f t="shared" si="15"/>
        <v>Above Avg</v>
      </c>
      <c r="K148">
        <f>RANK(Table1[[#This Row],[Total]],Table1[Total],0)</f>
        <v>180</v>
      </c>
      <c r="L148" t="str">
        <f t="shared" si="16"/>
        <v>No</v>
      </c>
    </row>
    <row r="149" spans="1:12" x14ac:dyDescent="0.3">
      <c r="A149">
        <v>248</v>
      </c>
      <c r="B149" t="s">
        <v>14</v>
      </c>
      <c r="C149">
        <v>87</v>
      </c>
      <c r="D149">
        <v>34</v>
      </c>
      <c r="E149">
        <v>33</v>
      </c>
      <c r="F149">
        <f t="shared" si="12"/>
        <v>154</v>
      </c>
      <c r="G149">
        <f t="shared" si="13"/>
        <v>51.333333333333336</v>
      </c>
      <c r="H149" t="str">
        <f>IF(Table1[[#This Row],[Percentage]]&gt;=80,"A",IF(Table1[[#This Row],[Percentage]]&gt;=60,"B",IF(Table1[[#This Row],[Percentage]]&gt;=40,"C","F")))</f>
        <v>C</v>
      </c>
      <c r="I149" t="str">
        <f t="shared" si="14"/>
        <v>Pass</v>
      </c>
      <c r="J149" t="str">
        <f t="shared" si="15"/>
        <v>Below Avg</v>
      </c>
      <c r="K149">
        <f>RANK(Table1[[#This Row],[Total]],Table1[Total],0)</f>
        <v>430</v>
      </c>
      <c r="L149" t="str">
        <f t="shared" si="16"/>
        <v>No</v>
      </c>
    </row>
    <row r="150" spans="1:12" x14ac:dyDescent="0.3">
      <c r="A150">
        <v>249</v>
      </c>
      <c r="B150" t="s">
        <v>12</v>
      </c>
      <c r="C150">
        <v>51</v>
      </c>
      <c r="D150">
        <v>92</v>
      </c>
      <c r="E150">
        <v>34</v>
      </c>
      <c r="F150">
        <f t="shared" si="12"/>
        <v>177</v>
      </c>
      <c r="G150">
        <f t="shared" si="13"/>
        <v>59</v>
      </c>
      <c r="H150" t="str">
        <f>IF(Table1[[#This Row],[Percentage]]&gt;=80,"A",IF(Table1[[#This Row],[Percentage]]&gt;=60,"B",IF(Table1[[#This Row],[Percentage]]&gt;=40,"C","F")))</f>
        <v>C</v>
      </c>
      <c r="I150" t="str">
        <f t="shared" si="14"/>
        <v>Pass</v>
      </c>
      <c r="J150" t="str">
        <f t="shared" si="15"/>
        <v>Below Avg</v>
      </c>
      <c r="K150">
        <f>RANK(Table1[[#This Row],[Total]],Table1[Total],0)</f>
        <v>329</v>
      </c>
      <c r="L150" t="str">
        <f t="shared" si="16"/>
        <v>No</v>
      </c>
    </row>
    <row r="151" spans="1:12" x14ac:dyDescent="0.3">
      <c r="A151">
        <v>250</v>
      </c>
      <c r="B151" t="s">
        <v>8</v>
      </c>
      <c r="C151">
        <v>88</v>
      </c>
      <c r="D151">
        <v>45</v>
      </c>
      <c r="E151">
        <v>97</v>
      </c>
      <c r="F151">
        <f t="shared" si="12"/>
        <v>230</v>
      </c>
      <c r="G151">
        <f t="shared" si="13"/>
        <v>76.666666666666671</v>
      </c>
      <c r="H151" t="str">
        <f>IF(Table1[[#This Row],[Percentage]]&gt;=80,"A",IF(Table1[[#This Row],[Percentage]]&gt;=60,"B",IF(Table1[[#This Row],[Percentage]]&gt;=40,"C","F")))</f>
        <v>B</v>
      </c>
      <c r="I151" t="str">
        <f t="shared" si="14"/>
        <v>Pass</v>
      </c>
      <c r="J151" t="str">
        <f t="shared" si="15"/>
        <v>Above Avg</v>
      </c>
      <c r="K151">
        <f>RANK(Table1[[#This Row],[Total]],Table1[Total],0)</f>
        <v>78</v>
      </c>
      <c r="L151" t="str">
        <f t="shared" si="16"/>
        <v>Yes</v>
      </c>
    </row>
    <row r="152" spans="1:12" x14ac:dyDescent="0.3">
      <c r="A152">
        <v>251</v>
      </c>
      <c r="B152" t="s">
        <v>13</v>
      </c>
      <c r="C152">
        <v>65</v>
      </c>
      <c r="D152">
        <v>88</v>
      </c>
      <c r="E152">
        <v>74</v>
      </c>
      <c r="F152">
        <f t="shared" si="12"/>
        <v>227</v>
      </c>
      <c r="G152">
        <f t="shared" si="13"/>
        <v>75.666666666666671</v>
      </c>
      <c r="H152" t="str">
        <f>IF(Table1[[#This Row],[Percentage]]&gt;=80,"A",IF(Table1[[#This Row],[Percentage]]&gt;=60,"B",IF(Table1[[#This Row],[Percentage]]&gt;=40,"C","F")))</f>
        <v>B</v>
      </c>
      <c r="I152" t="str">
        <f t="shared" si="14"/>
        <v>Pass</v>
      </c>
      <c r="J152" t="str">
        <f t="shared" si="15"/>
        <v>Above Avg</v>
      </c>
      <c r="K152">
        <f>RANK(Table1[[#This Row],[Total]],Table1[Total],0)</f>
        <v>86</v>
      </c>
      <c r="L152" t="str">
        <f t="shared" si="16"/>
        <v>Yes</v>
      </c>
    </row>
    <row r="153" spans="1:12" x14ac:dyDescent="0.3">
      <c r="A153">
        <v>252</v>
      </c>
      <c r="B153" t="s">
        <v>8</v>
      </c>
      <c r="C153">
        <v>67</v>
      </c>
      <c r="D153">
        <v>48</v>
      </c>
      <c r="E153">
        <v>52</v>
      </c>
      <c r="F153">
        <f t="shared" si="12"/>
        <v>167</v>
      </c>
      <c r="G153">
        <f t="shared" si="13"/>
        <v>55.666666666666664</v>
      </c>
      <c r="H153" t="str">
        <f>IF(Table1[[#This Row],[Percentage]]&gt;=80,"A",IF(Table1[[#This Row],[Percentage]]&gt;=60,"B",IF(Table1[[#This Row],[Percentage]]&gt;=40,"C","F")))</f>
        <v>C</v>
      </c>
      <c r="I153" t="str">
        <f t="shared" si="14"/>
        <v>Pass</v>
      </c>
      <c r="J153" t="str">
        <f t="shared" si="15"/>
        <v>Below Avg</v>
      </c>
      <c r="K153">
        <f>RANK(Table1[[#This Row],[Total]],Table1[Total],0)</f>
        <v>378</v>
      </c>
      <c r="L153" t="str">
        <f t="shared" si="16"/>
        <v>No</v>
      </c>
    </row>
    <row r="154" spans="1:12" x14ac:dyDescent="0.3">
      <c r="A154">
        <v>253</v>
      </c>
      <c r="B154" t="s">
        <v>13</v>
      </c>
      <c r="C154">
        <v>85</v>
      </c>
      <c r="D154">
        <v>58</v>
      </c>
      <c r="E154">
        <v>96</v>
      </c>
      <c r="F154">
        <f t="shared" si="12"/>
        <v>239</v>
      </c>
      <c r="G154">
        <f t="shared" si="13"/>
        <v>79.666666666666671</v>
      </c>
      <c r="H154" t="str">
        <f>IF(Table1[[#This Row],[Percentage]]&gt;=80,"A",IF(Table1[[#This Row],[Percentage]]&gt;=60,"B",IF(Table1[[#This Row],[Percentage]]&gt;=40,"C","F")))</f>
        <v>B</v>
      </c>
      <c r="I154" t="str">
        <f t="shared" si="14"/>
        <v>Pass</v>
      </c>
      <c r="J154" t="str">
        <f t="shared" si="15"/>
        <v>Above Avg</v>
      </c>
      <c r="K154">
        <f>RANK(Table1[[#This Row],[Total]],Table1[Total],0)</f>
        <v>51</v>
      </c>
      <c r="L154" t="str">
        <f t="shared" si="16"/>
        <v>Yes</v>
      </c>
    </row>
    <row r="155" spans="1:12" x14ac:dyDescent="0.3">
      <c r="A155">
        <v>254</v>
      </c>
      <c r="B155" t="s">
        <v>15</v>
      </c>
      <c r="C155">
        <v>57</v>
      </c>
      <c r="D155">
        <v>64</v>
      </c>
      <c r="E155">
        <v>51</v>
      </c>
      <c r="F155">
        <f t="shared" si="12"/>
        <v>172</v>
      </c>
      <c r="G155">
        <f t="shared" si="13"/>
        <v>57.333333333333336</v>
      </c>
      <c r="H155" t="str">
        <f>IF(Table1[[#This Row],[Percentage]]&gt;=80,"A",IF(Table1[[#This Row],[Percentage]]&gt;=60,"B",IF(Table1[[#This Row],[Percentage]]&gt;=40,"C","F")))</f>
        <v>C</v>
      </c>
      <c r="I155" t="str">
        <f t="shared" si="14"/>
        <v>Pass</v>
      </c>
      <c r="J155" t="str">
        <f t="shared" si="15"/>
        <v>Below Avg</v>
      </c>
      <c r="K155">
        <f>RANK(Table1[[#This Row],[Total]],Table1[Total],0)</f>
        <v>351</v>
      </c>
      <c r="L155" t="str">
        <f t="shared" si="16"/>
        <v>No</v>
      </c>
    </row>
    <row r="156" spans="1:12" x14ac:dyDescent="0.3">
      <c r="A156">
        <v>255</v>
      </c>
      <c r="B156" t="s">
        <v>9</v>
      </c>
      <c r="C156">
        <v>91</v>
      </c>
      <c r="D156">
        <v>80</v>
      </c>
      <c r="E156">
        <v>61</v>
      </c>
      <c r="F156">
        <f t="shared" si="12"/>
        <v>232</v>
      </c>
      <c r="G156">
        <f t="shared" si="13"/>
        <v>77.333333333333329</v>
      </c>
      <c r="H156" t="str">
        <f>IF(Table1[[#This Row],[Percentage]]&gt;=80,"A",IF(Table1[[#This Row],[Percentage]]&gt;=60,"B",IF(Table1[[#This Row],[Percentage]]&gt;=40,"C","F")))</f>
        <v>B</v>
      </c>
      <c r="I156" t="str">
        <f t="shared" si="14"/>
        <v>Pass</v>
      </c>
      <c r="J156" t="str">
        <f t="shared" si="15"/>
        <v>Above Avg</v>
      </c>
      <c r="K156">
        <f>RANK(Table1[[#This Row],[Total]],Table1[Total],0)</f>
        <v>70</v>
      </c>
      <c r="L156" t="str">
        <f t="shared" si="16"/>
        <v>Yes</v>
      </c>
    </row>
    <row r="157" spans="1:12" x14ac:dyDescent="0.3">
      <c r="A157">
        <v>256</v>
      </c>
      <c r="B157" t="s">
        <v>15</v>
      </c>
      <c r="C157">
        <v>35</v>
      </c>
      <c r="D157">
        <v>37</v>
      </c>
      <c r="E157">
        <v>97</v>
      </c>
      <c r="F157">
        <f t="shared" si="12"/>
        <v>169</v>
      </c>
      <c r="G157">
        <f t="shared" si="13"/>
        <v>56.333333333333336</v>
      </c>
      <c r="H157" t="str">
        <f>IF(Table1[[#This Row],[Percentage]]&gt;=80,"A",IF(Table1[[#This Row],[Percentage]]&gt;=60,"B",IF(Table1[[#This Row],[Percentage]]&gt;=40,"C","F")))</f>
        <v>C</v>
      </c>
      <c r="I157" t="str">
        <f t="shared" si="14"/>
        <v>Pass</v>
      </c>
      <c r="J157" t="str">
        <f t="shared" si="15"/>
        <v>Below Avg</v>
      </c>
      <c r="K157">
        <f>RANK(Table1[[#This Row],[Total]],Table1[Total],0)</f>
        <v>370</v>
      </c>
      <c r="L157" t="str">
        <f t="shared" si="16"/>
        <v>No</v>
      </c>
    </row>
    <row r="158" spans="1:12" x14ac:dyDescent="0.3">
      <c r="A158">
        <v>257</v>
      </c>
      <c r="B158" t="s">
        <v>11</v>
      </c>
      <c r="C158">
        <v>100</v>
      </c>
      <c r="D158">
        <v>64</v>
      </c>
      <c r="E158">
        <v>96</v>
      </c>
      <c r="F158">
        <f t="shared" si="12"/>
        <v>260</v>
      </c>
      <c r="G158">
        <f t="shared" si="13"/>
        <v>86.666666666666671</v>
      </c>
      <c r="H158" t="str">
        <f>IF(Table1[[#This Row],[Percentage]]&gt;=80,"A",IF(Table1[[#This Row],[Percentage]]&gt;=60,"B",IF(Table1[[#This Row],[Percentage]]&gt;=40,"C","F")))</f>
        <v>A</v>
      </c>
      <c r="I158" t="str">
        <f t="shared" si="14"/>
        <v>Pass</v>
      </c>
      <c r="J158" t="str">
        <f t="shared" si="15"/>
        <v>Above Avg</v>
      </c>
      <c r="K158">
        <f>RANK(Table1[[#This Row],[Total]],Table1[Total],0)</f>
        <v>16</v>
      </c>
      <c r="L158" t="str">
        <f t="shared" si="16"/>
        <v>Yes</v>
      </c>
    </row>
    <row r="159" spans="1:12" x14ac:dyDescent="0.3">
      <c r="A159">
        <v>258</v>
      </c>
      <c r="B159" t="s">
        <v>10</v>
      </c>
      <c r="C159">
        <v>56</v>
      </c>
      <c r="D159">
        <v>79</v>
      </c>
      <c r="E159">
        <v>71</v>
      </c>
      <c r="F159">
        <f t="shared" si="12"/>
        <v>206</v>
      </c>
      <c r="G159">
        <f t="shared" si="13"/>
        <v>68.666666666666671</v>
      </c>
      <c r="H159" t="str">
        <f>IF(Table1[[#This Row],[Percentage]]&gt;=80,"A",IF(Table1[[#This Row],[Percentage]]&gt;=60,"B",IF(Table1[[#This Row],[Percentage]]&gt;=40,"C","F")))</f>
        <v>B</v>
      </c>
      <c r="I159" t="str">
        <f t="shared" si="14"/>
        <v>Pass</v>
      </c>
      <c r="J159" t="str">
        <f t="shared" si="15"/>
        <v>Above Avg</v>
      </c>
      <c r="K159">
        <f>RANK(Table1[[#This Row],[Total]],Table1[Total],0)</f>
        <v>180</v>
      </c>
      <c r="L159" t="str">
        <f t="shared" si="16"/>
        <v>No</v>
      </c>
    </row>
    <row r="160" spans="1:12" x14ac:dyDescent="0.3">
      <c r="A160">
        <v>259</v>
      </c>
      <c r="B160" t="s">
        <v>11</v>
      </c>
      <c r="C160">
        <v>77</v>
      </c>
      <c r="D160">
        <v>68</v>
      </c>
      <c r="E160">
        <v>81</v>
      </c>
      <c r="F160">
        <f t="shared" si="12"/>
        <v>226</v>
      </c>
      <c r="G160">
        <f t="shared" si="13"/>
        <v>75.333333333333329</v>
      </c>
      <c r="H160" t="str">
        <f>IF(Table1[[#This Row],[Percentage]]&gt;=80,"A",IF(Table1[[#This Row],[Percentage]]&gt;=60,"B",IF(Table1[[#This Row],[Percentage]]&gt;=40,"C","F")))</f>
        <v>B</v>
      </c>
      <c r="I160" t="str">
        <f t="shared" si="14"/>
        <v>Pass</v>
      </c>
      <c r="J160" t="str">
        <f t="shared" si="15"/>
        <v>Above Avg</v>
      </c>
      <c r="K160">
        <f>RANK(Table1[[#This Row],[Total]],Table1[Total],0)</f>
        <v>89</v>
      </c>
      <c r="L160" t="str">
        <f t="shared" si="16"/>
        <v>Yes</v>
      </c>
    </row>
    <row r="161" spans="1:12" x14ac:dyDescent="0.3">
      <c r="A161">
        <v>260</v>
      </c>
      <c r="B161" t="s">
        <v>15</v>
      </c>
      <c r="C161">
        <v>86</v>
      </c>
      <c r="D161">
        <v>99</v>
      </c>
      <c r="E161">
        <v>65</v>
      </c>
      <c r="F161">
        <f t="shared" si="12"/>
        <v>250</v>
      </c>
      <c r="G161">
        <f t="shared" si="13"/>
        <v>83.333333333333329</v>
      </c>
      <c r="H161" t="str">
        <f>IF(Table1[[#This Row],[Percentage]]&gt;=80,"A",IF(Table1[[#This Row],[Percentage]]&gt;=60,"B",IF(Table1[[#This Row],[Percentage]]&gt;=40,"C","F")))</f>
        <v>A</v>
      </c>
      <c r="I161" t="str">
        <f t="shared" si="14"/>
        <v>Pass</v>
      </c>
      <c r="J161" t="str">
        <f t="shared" si="15"/>
        <v>Above Avg</v>
      </c>
      <c r="K161">
        <f>RANK(Table1[[#This Row],[Total]],Table1[Total],0)</f>
        <v>33</v>
      </c>
      <c r="L161" t="str">
        <f t="shared" si="16"/>
        <v>Yes</v>
      </c>
    </row>
    <row r="162" spans="1:12" x14ac:dyDescent="0.3">
      <c r="A162">
        <v>261</v>
      </c>
      <c r="B162" t="s">
        <v>12</v>
      </c>
      <c r="C162">
        <v>55</v>
      </c>
      <c r="D162">
        <v>87</v>
      </c>
      <c r="E162">
        <v>56</v>
      </c>
      <c r="F162">
        <f t="shared" si="12"/>
        <v>198</v>
      </c>
      <c r="G162">
        <f t="shared" si="13"/>
        <v>66</v>
      </c>
      <c r="H162" t="str">
        <f>IF(Table1[[#This Row],[Percentage]]&gt;=80,"A",IF(Table1[[#This Row],[Percentage]]&gt;=60,"B",IF(Table1[[#This Row],[Percentage]]&gt;=40,"C","F")))</f>
        <v>B</v>
      </c>
      <c r="I162" t="str">
        <f t="shared" si="14"/>
        <v>Pass</v>
      </c>
      <c r="J162" t="str">
        <f t="shared" si="15"/>
        <v>Above Avg</v>
      </c>
      <c r="K162">
        <f>RANK(Table1[[#This Row],[Total]],Table1[Total],0)</f>
        <v>217</v>
      </c>
      <c r="L162" t="str">
        <f t="shared" si="16"/>
        <v>No</v>
      </c>
    </row>
    <row r="163" spans="1:12" x14ac:dyDescent="0.3">
      <c r="A163">
        <v>262</v>
      </c>
      <c r="B163" t="s">
        <v>14</v>
      </c>
      <c r="C163">
        <v>69</v>
      </c>
      <c r="D163">
        <v>32</v>
      </c>
      <c r="E163">
        <v>71</v>
      </c>
      <c r="F163">
        <f t="shared" si="12"/>
        <v>172</v>
      </c>
      <c r="G163">
        <f t="shared" si="13"/>
        <v>57.333333333333336</v>
      </c>
      <c r="H163" t="str">
        <f>IF(Table1[[#This Row],[Percentage]]&gt;=80,"A",IF(Table1[[#This Row],[Percentage]]&gt;=60,"B",IF(Table1[[#This Row],[Percentage]]&gt;=40,"C","F")))</f>
        <v>C</v>
      </c>
      <c r="I163" t="str">
        <f t="shared" si="14"/>
        <v>Pass</v>
      </c>
      <c r="J163" t="str">
        <f t="shared" si="15"/>
        <v>Below Avg</v>
      </c>
      <c r="K163">
        <f>RANK(Table1[[#This Row],[Total]],Table1[Total],0)</f>
        <v>351</v>
      </c>
      <c r="L163" t="str">
        <f t="shared" si="16"/>
        <v>No</v>
      </c>
    </row>
    <row r="164" spans="1:12" x14ac:dyDescent="0.3">
      <c r="A164">
        <v>263</v>
      </c>
      <c r="B164" t="s">
        <v>13</v>
      </c>
      <c r="C164">
        <v>65</v>
      </c>
      <c r="D164">
        <v>36</v>
      </c>
      <c r="E164">
        <v>87</v>
      </c>
      <c r="F164">
        <f t="shared" si="12"/>
        <v>188</v>
      </c>
      <c r="G164">
        <f t="shared" si="13"/>
        <v>62.666666666666664</v>
      </c>
      <c r="H164" t="str">
        <f>IF(Table1[[#This Row],[Percentage]]&gt;=80,"A",IF(Table1[[#This Row],[Percentage]]&gt;=60,"B",IF(Table1[[#This Row],[Percentage]]&gt;=40,"C","F")))</f>
        <v>B</v>
      </c>
      <c r="I164" t="str">
        <f t="shared" si="14"/>
        <v>Pass</v>
      </c>
      <c r="J164" t="str">
        <f t="shared" si="15"/>
        <v>Below Avg</v>
      </c>
      <c r="K164">
        <f>RANK(Table1[[#This Row],[Total]],Table1[Total],0)</f>
        <v>277</v>
      </c>
      <c r="L164" t="str">
        <f t="shared" si="16"/>
        <v>No</v>
      </c>
    </row>
    <row r="165" spans="1:12" x14ac:dyDescent="0.3">
      <c r="A165">
        <v>264</v>
      </c>
      <c r="B165" t="s">
        <v>8</v>
      </c>
      <c r="C165">
        <v>68</v>
      </c>
      <c r="D165">
        <v>74</v>
      </c>
      <c r="E165">
        <v>41</v>
      </c>
      <c r="F165">
        <f t="shared" si="12"/>
        <v>183</v>
      </c>
      <c r="G165">
        <f t="shared" si="13"/>
        <v>61</v>
      </c>
      <c r="H165" t="str">
        <f>IF(Table1[[#This Row],[Percentage]]&gt;=80,"A",IF(Table1[[#This Row],[Percentage]]&gt;=60,"B",IF(Table1[[#This Row],[Percentage]]&gt;=40,"C","F")))</f>
        <v>B</v>
      </c>
      <c r="I165" t="str">
        <f t="shared" si="14"/>
        <v>Pass</v>
      </c>
      <c r="J165" t="str">
        <f t="shared" si="15"/>
        <v>Below Avg</v>
      </c>
      <c r="K165">
        <f>RANK(Table1[[#This Row],[Total]],Table1[Total],0)</f>
        <v>307</v>
      </c>
      <c r="L165" t="str">
        <f t="shared" si="16"/>
        <v>No</v>
      </c>
    </row>
    <row r="166" spans="1:12" x14ac:dyDescent="0.3">
      <c r="A166">
        <v>265</v>
      </c>
      <c r="B166" t="s">
        <v>13</v>
      </c>
      <c r="C166">
        <v>35</v>
      </c>
      <c r="D166">
        <v>31</v>
      </c>
      <c r="E166">
        <v>78</v>
      </c>
      <c r="F166">
        <f t="shared" si="12"/>
        <v>144</v>
      </c>
      <c r="G166">
        <f t="shared" si="13"/>
        <v>48</v>
      </c>
      <c r="H166" t="str">
        <f>IF(Table1[[#This Row],[Percentage]]&gt;=80,"A",IF(Table1[[#This Row],[Percentage]]&gt;=60,"B",IF(Table1[[#This Row],[Percentage]]&gt;=40,"C","F")))</f>
        <v>C</v>
      </c>
      <c r="I166" t="str">
        <f t="shared" si="14"/>
        <v>Pass</v>
      </c>
      <c r="J166" t="str">
        <f t="shared" si="15"/>
        <v>Below Avg</v>
      </c>
      <c r="K166">
        <f>RANK(Table1[[#This Row],[Total]],Table1[Total],0)</f>
        <v>456</v>
      </c>
      <c r="L166" t="str">
        <f t="shared" si="16"/>
        <v>No</v>
      </c>
    </row>
    <row r="167" spans="1:12" x14ac:dyDescent="0.3">
      <c r="A167">
        <v>266</v>
      </c>
      <c r="B167" t="s">
        <v>11</v>
      </c>
      <c r="C167">
        <v>93</v>
      </c>
      <c r="D167">
        <v>94</v>
      </c>
      <c r="E167">
        <v>64</v>
      </c>
      <c r="F167">
        <f t="shared" si="12"/>
        <v>251</v>
      </c>
      <c r="G167">
        <f t="shared" si="13"/>
        <v>83.666666666666671</v>
      </c>
      <c r="H167" t="str">
        <f>IF(Table1[[#This Row],[Percentage]]&gt;=80,"A",IF(Table1[[#This Row],[Percentage]]&gt;=60,"B",IF(Table1[[#This Row],[Percentage]]&gt;=40,"C","F")))</f>
        <v>A</v>
      </c>
      <c r="I167" t="str">
        <f t="shared" si="14"/>
        <v>Pass</v>
      </c>
      <c r="J167" t="str">
        <f t="shared" si="15"/>
        <v>Above Avg</v>
      </c>
      <c r="K167">
        <f>RANK(Table1[[#This Row],[Total]],Table1[Total],0)</f>
        <v>31</v>
      </c>
      <c r="L167" t="str">
        <f t="shared" si="16"/>
        <v>Yes</v>
      </c>
    </row>
    <row r="168" spans="1:12" x14ac:dyDescent="0.3">
      <c r="A168">
        <v>267</v>
      </c>
      <c r="B168" t="s">
        <v>12</v>
      </c>
      <c r="C168">
        <v>43</v>
      </c>
      <c r="D168">
        <v>47</v>
      </c>
      <c r="E168">
        <v>47</v>
      </c>
      <c r="F168">
        <f t="shared" si="12"/>
        <v>137</v>
      </c>
      <c r="G168">
        <f t="shared" si="13"/>
        <v>45.666666666666664</v>
      </c>
      <c r="H168" t="str">
        <f>IF(Table1[[#This Row],[Percentage]]&gt;=80,"A",IF(Table1[[#This Row],[Percentage]]&gt;=60,"B",IF(Table1[[#This Row],[Percentage]]&gt;=40,"C","F")))</f>
        <v>C</v>
      </c>
      <c r="I168" t="str">
        <f t="shared" si="14"/>
        <v>Pass</v>
      </c>
      <c r="J168" t="str">
        <f t="shared" si="15"/>
        <v>Below Avg</v>
      </c>
      <c r="K168">
        <f>RANK(Table1[[#This Row],[Total]],Table1[Total],0)</f>
        <v>474</v>
      </c>
      <c r="L168" t="str">
        <f t="shared" si="16"/>
        <v>No</v>
      </c>
    </row>
    <row r="169" spans="1:12" x14ac:dyDescent="0.3">
      <c r="A169">
        <v>268</v>
      </c>
      <c r="B169" t="s">
        <v>15</v>
      </c>
      <c r="C169">
        <v>97</v>
      </c>
      <c r="D169">
        <v>61</v>
      </c>
      <c r="E169">
        <v>35</v>
      </c>
      <c r="F169">
        <f t="shared" si="12"/>
        <v>193</v>
      </c>
      <c r="G169">
        <f t="shared" si="13"/>
        <v>64.333333333333329</v>
      </c>
      <c r="H169" t="str">
        <f>IF(Table1[[#This Row],[Percentage]]&gt;=80,"A",IF(Table1[[#This Row],[Percentage]]&gt;=60,"B",IF(Table1[[#This Row],[Percentage]]&gt;=40,"C","F")))</f>
        <v>B</v>
      </c>
      <c r="I169" t="str">
        <f t="shared" si="14"/>
        <v>Pass</v>
      </c>
      <c r="J169" t="str">
        <f t="shared" si="15"/>
        <v>Below Avg</v>
      </c>
      <c r="K169">
        <f>RANK(Table1[[#This Row],[Total]],Table1[Total],0)</f>
        <v>254</v>
      </c>
      <c r="L169" t="str">
        <f t="shared" si="16"/>
        <v>No</v>
      </c>
    </row>
    <row r="170" spans="1:12" x14ac:dyDescent="0.3">
      <c r="A170">
        <v>269</v>
      </c>
      <c r="B170" t="s">
        <v>14</v>
      </c>
      <c r="C170">
        <v>59</v>
      </c>
      <c r="D170">
        <v>76</v>
      </c>
      <c r="E170">
        <v>77</v>
      </c>
      <c r="F170">
        <f t="shared" si="12"/>
        <v>212</v>
      </c>
      <c r="G170">
        <f t="shared" si="13"/>
        <v>70.666666666666671</v>
      </c>
      <c r="H170" t="str">
        <f>IF(Table1[[#This Row],[Percentage]]&gt;=80,"A",IF(Table1[[#This Row],[Percentage]]&gt;=60,"B",IF(Table1[[#This Row],[Percentage]]&gt;=40,"C","F")))</f>
        <v>B</v>
      </c>
      <c r="I170" t="str">
        <f t="shared" si="14"/>
        <v>Pass</v>
      </c>
      <c r="J170" t="str">
        <f t="shared" si="15"/>
        <v>Above Avg</v>
      </c>
      <c r="K170">
        <f>RANK(Table1[[#This Row],[Total]],Table1[Total],0)</f>
        <v>149</v>
      </c>
      <c r="L170" t="str">
        <f t="shared" si="16"/>
        <v>No</v>
      </c>
    </row>
    <row r="171" spans="1:12" x14ac:dyDescent="0.3">
      <c r="A171">
        <v>270</v>
      </c>
      <c r="B171" t="s">
        <v>11</v>
      </c>
      <c r="C171">
        <v>65</v>
      </c>
      <c r="D171">
        <v>81</v>
      </c>
      <c r="E171">
        <v>77</v>
      </c>
      <c r="F171">
        <f t="shared" si="12"/>
        <v>223</v>
      </c>
      <c r="G171">
        <f t="shared" si="13"/>
        <v>74.333333333333329</v>
      </c>
      <c r="H171" t="str">
        <f>IF(Table1[[#This Row],[Percentage]]&gt;=80,"A",IF(Table1[[#This Row],[Percentage]]&gt;=60,"B",IF(Table1[[#This Row],[Percentage]]&gt;=40,"C","F")))</f>
        <v>B</v>
      </c>
      <c r="I171" t="str">
        <f t="shared" si="14"/>
        <v>Pass</v>
      </c>
      <c r="J171" t="str">
        <f t="shared" si="15"/>
        <v>Above Avg</v>
      </c>
      <c r="K171">
        <f>RANK(Table1[[#This Row],[Total]],Table1[Total],0)</f>
        <v>98</v>
      </c>
      <c r="L171" t="str">
        <f t="shared" si="16"/>
        <v>No</v>
      </c>
    </row>
    <row r="172" spans="1:12" x14ac:dyDescent="0.3">
      <c r="A172">
        <v>271</v>
      </c>
      <c r="B172" t="s">
        <v>11</v>
      </c>
      <c r="C172">
        <v>49</v>
      </c>
      <c r="D172">
        <v>49</v>
      </c>
      <c r="E172">
        <v>97</v>
      </c>
      <c r="F172">
        <f t="shared" si="12"/>
        <v>195</v>
      </c>
      <c r="G172">
        <f t="shared" si="13"/>
        <v>65</v>
      </c>
      <c r="H172" t="str">
        <f>IF(Table1[[#This Row],[Percentage]]&gt;=80,"A",IF(Table1[[#This Row],[Percentage]]&gt;=60,"B",IF(Table1[[#This Row],[Percentage]]&gt;=40,"C","F")))</f>
        <v>B</v>
      </c>
      <c r="I172" t="str">
        <f t="shared" si="14"/>
        <v>Pass</v>
      </c>
      <c r="J172" t="str">
        <f t="shared" si="15"/>
        <v>Above Avg</v>
      </c>
      <c r="K172">
        <f>RANK(Table1[[#This Row],[Total]],Table1[Total],0)</f>
        <v>243</v>
      </c>
      <c r="L172" t="str">
        <f t="shared" si="16"/>
        <v>No</v>
      </c>
    </row>
    <row r="173" spans="1:12" x14ac:dyDescent="0.3">
      <c r="A173">
        <v>272</v>
      </c>
      <c r="B173" t="s">
        <v>12</v>
      </c>
      <c r="C173">
        <v>100</v>
      </c>
      <c r="D173">
        <v>42</v>
      </c>
      <c r="E173">
        <v>67</v>
      </c>
      <c r="F173">
        <f t="shared" si="12"/>
        <v>209</v>
      </c>
      <c r="G173">
        <f t="shared" si="13"/>
        <v>69.666666666666671</v>
      </c>
      <c r="H173" t="str">
        <f>IF(Table1[[#This Row],[Percentage]]&gt;=80,"A",IF(Table1[[#This Row],[Percentage]]&gt;=60,"B",IF(Table1[[#This Row],[Percentage]]&gt;=40,"C","F")))</f>
        <v>B</v>
      </c>
      <c r="I173" t="str">
        <f t="shared" si="14"/>
        <v>Pass</v>
      </c>
      <c r="J173" t="str">
        <f t="shared" si="15"/>
        <v>Above Avg</v>
      </c>
      <c r="K173">
        <f>RANK(Table1[[#This Row],[Total]],Table1[Total],0)</f>
        <v>164</v>
      </c>
      <c r="L173" t="str">
        <f t="shared" si="16"/>
        <v>No</v>
      </c>
    </row>
    <row r="174" spans="1:12" x14ac:dyDescent="0.3">
      <c r="A174">
        <v>273</v>
      </c>
      <c r="B174" t="s">
        <v>12</v>
      </c>
      <c r="C174">
        <v>87</v>
      </c>
      <c r="D174">
        <v>35</v>
      </c>
      <c r="E174">
        <v>84</v>
      </c>
      <c r="F174">
        <f t="shared" si="12"/>
        <v>206</v>
      </c>
      <c r="G174">
        <f t="shared" si="13"/>
        <v>68.666666666666671</v>
      </c>
      <c r="H174" t="str">
        <f>IF(Table1[[#This Row],[Percentage]]&gt;=80,"A",IF(Table1[[#This Row],[Percentage]]&gt;=60,"B",IF(Table1[[#This Row],[Percentage]]&gt;=40,"C","F")))</f>
        <v>B</v>
      </c>
      <c r="I174" t="str">
        <f t="shared" si="14"/>
        <v>Pass</v>
      </c>
      <c r="J174" t="str">
        <f t="shared" si="15"/>
        <v>Above Avg</v>
      </c>
      <c r="K174">
        <f>RANK(Table1[[#This Row],[Total]],Table1[Total],0)</f>
        <v>180</v>
      </c>
      <c r="L174" t="str">
        <f t="shared" si="16"/>
        <v>No</v>
      </c>
    </row>
    <row r="175" spans="1:12" x14ac:dyDescent="0.3">
      <c r="A175">
        <v>274</v>
      </c>
      <c r="B175" t="s">
        <v>11</v>
      </c>
      <c r="C175">
        <v>55</v>
      </c>
      <c r="D175">
        <v>62</v>
      </c>
      <c r="E175">
        <v>39</v>
      </c>
      <c r="F175">
        <f t="shared" si="12"/>
        <v>156</v>
      </c>
      <c r="G175">
        <f t="shared" si="13"/>
        <v>52</v>
      </c>
      <c r="H175" t="str">
        <f>IF(Table1[[#This Row],[Percentage]]&gt;=80,"A",IF(Table1[[#This Row],[Percentage]]&gt;=60,"B",IF(Table1[[#This Row],[Percentage]]&gt;=40,"C","F")))</f>
        <v>C</v>
      </c>
      <c r="I175" t="str">
        <f t="shared" si="14"/>
        <v>Pass</v>
      </c>
      <c r="J175" t="str">
        <f t="shared" si="15"/>
        <v>Below Avg</v>
      </c>
      <c r="K175">
        <f>RANK(Table1[[#This Row],[Total]],Table1[Total],0)</f>
        <v>422</v>
      </c>
      <c r="L175" t="str">
        <f t="shared" si="16"/>
        <v>No</v>
      </c>
    </row>
    <row r="176" spans="1:12" x14ac:dyDescent="0.3">
      <c r="A176">
        <v>275</v>
      </c>
      <c r="B176" t="s">
        <v>10</v>
      </c>
      <c r="C176">
        <v>51</v>
      </c>
      <c r="D176">
        <v>46</v>
      </c>
      <c r="E176">
        <v>87</v>
      </c>
      <c r="F176">
        <f t="shared" si="12"/>
        <v>184</v>
      </c>
      <c r="G176">
        <f t="shared" si="13"/>
        <v>61.333333333333336</v>
      </c>
      <c r="H176" t="str">
        <f>IF(Table1[[#This Row],[Percentage]]&gt;=80,"A",IF(Table1[[#This Row],[Percentage]]&gt;=60,"B",IF(Table1[[#This Row],[Percentage]]&gt;=40,"C","F")))</f>
        <v>B</v>
      </c>
      <c r="I176" t="str">
        <f t="shared" si="14"/>
        <v>Pass</v>
      </c>
      <c r="J176" t="str">
        <f t="shared" si="15"/>
        <v>Below Avg</v>
      </c>
      <c r="K176">
        <f>RANK(Table1[[#This Row],[Total]],Table1[Total],0)</f>
        <v>298</v>
      </c>
      <c r="L176" t="str">
        <f t="shared" si="16"/>
        <v>No</v>
      </c>
    </row>
    <row r="177" spans="1:12" x14ac:dyDescent="0.3">
      <c r="A177">
        <v>276</v>
      </c>
      <c r="B177" t="s">
        <v>13</v>
      </c>
      <c r="C177">
        <v>49</v>
      </c>
      <c r="D177">
        <v>43</v>
      </c>
      <c r="E177">
        <v>41</v>
      </c>
      <c r="F177">
        <f t="shared" si="12"/>
        <v>133</v>
      </c>
      <c r="G177">
        <f t="shared" si="13"/>
        <v>44.333333333333336</v>
      </c>
      <c r="H177" t="str">
        <f>IF(Table1[[#This Row],[Percentage]]&gt;=80,"A",IF(Table1[[#This Row],[Percentage]]&gt;=60,"B",IF(Table1[[#This Row],[Percentage]]&gt;=40,"C","F")))</f>
        <v>C</v>
      </c>
      <c r="I177" t="str">
        <f t="shared" si="14"/>
        <v>Pass</v>
      </c>
      <c r="J177" t="str">
        <f t="shared" si="15"/>
        <v>Below Avg</v>
      </c>
      <c r="K177">
        <f>RANK(Table1[[#This Row],[Total]],Table1[Total],0)</f>
        <v>480</v>
      </c>
      <c r="L177" t="str">
        <f t="shared" si="16"/>
        <v>No</v>
      </c>
    </row>
    <row r="178" spans="1:12" x14ac:dyDescent="0.3">
      <c r="A178">
        <v>277</v>
      </c>
      <c r="B178" t="s">
        <v>10</v>
      </c>
      <c r="C178">
        <v>67</v>
      </c>
      <c r="D178">
        <v>78</v>
      </c>
      <c r="E178">
        <v>78</v>
      </c>
      <c r="F178">
        <f t="shared" si="12"/>
        <v>223</v>
      </c>
      <c r="G178">
        <f t="shared" si="13"/>
        <v>74.333333333333329</v>
      </c>
      <c r="H178" t="str">
        <f>IF(Table1[[#This Row],[Percentage]]&gt;=80,"A",IF(Table1[[#This Row],[Percentage]]&gt;=60,"B",IF(Table1[[#This Row],[Percentage]]&gt;=40,"C","F")))</f>
        <v>B</v>
      </c>
      <c r="I178" t="str">
        <f t="shared" si="14"/>
        <v>Pass</v>
      </c>
      <c r="J178" t="str">
        <f t="shared" si="15"/>
        <v>Above Avg</v>
      </c>
      <c r="K178">
        <f>RANK(Table1[[#This Row],[Total]],Table1[Total],0)</f>
        <v>98</v>
      </c>
      <c r="L178" t="str">
        <f t="shared" si="16"/>
        <v>No</v>
      </c>
    </row>
    <row r="179" spans="1:12" x14ac:dyDescent="0.3">
      <c r="A179">
        <v>278</v>
      </c>
      <c r="B179" t="s">
        <v>12</v>
      </c>
      <c r="C179">
        <v>37</v>
      </c>
      <c r="D179">
        <v>48</v>
      </c>
      <c r="E179">
        <v>84</v>
      </c>
      <c r="F179">
        <f t="shared" si="12"/>
        <v>169</v>
      </c>
      <c r="G179">
        <f t="shared" si="13"/>
        <v>56.333333333333336</v>
      </c>
      <c r="H179" t="str">
        <f>IF(Table1[[#This Row],[Percentage]]&gt;=80,"A",IF(Table1[[#This Row],[Percentage]]&gt;=60,"B",IF(Table1[[#This Row],[Percentage]]&gt;=40,"C","F")))</f>
        <v>C</v>
      </c>
      <c r="I179" t="str">
        <f t="shared" si="14"/>
        <v>Pass</v>
      </c>
      <c r="J179" t="str">
        <f t="shared" si="15"/>
        <v>Below Avg</v>
      </c>
      <c r="K179">
        <f>RANK(Table1[[#This Row],[Total]],Table1[Total],0)</f>
        <v>370</v>
      </c>
      <c r="L179" t="str">
        <f t="shared" si="16"/>
        <v>No</v>
      </c>
    </row>
    <row r="180" spans="1:12" x14ac:dyDescent="0.3">
      <c r="A180">
        <v>279</v>
      </c>
      <c r="B180" t="s">
        <v>8</v>
      </c>
      <c r="C180">
        <v>31</v>
      </c>
      <c r="D180">
        <v>77</v>
      </c>
      <c r="E180">
        <v>34</v>
      </c>
      <c r="F180">
        <f t="shared" si="12"/>
        <v>142</v>
      </c>
      <c r="G180">
        <f t="shared" si="13"/>
        <v>47.333333333333336</v>
      </c>
      <c r="H180" t="str">
        <f>IF(Table1[[#This Row],[Percentage]]&gt;=80,"A",IF(Table1[[#This Row],[Percentage]]&gt;=60,"B",IF(Table1[[#This Row],[Percentage]]&gt;=40,"C","F")))</f>
        <v>C</v>
      </c>
      <c r="I180" t="str">
        <f t="shared" si="14"/>
        <v>Pass</v>
      </c>
      <c r="J180" t="str">
        <f t="shared" si="15"/>
        <v>Below Avg</v>
      </c>
      <c r="K180">
        <f>RANK(Table1[[#This Row],[Total]],Table1[Total],0)</f>
        <v>462</v>
      </c>
      <c r="L180" t="str">
        <f t="shared" si="16"/>
        <v>No</v>
      </c>
    </row>
    <row r="181" spans="1:12" x14ac:dyDescent="0.3">
      <c r="A181">
        <v>280</v>
      </c>
      <c r="B181" t="s">
        <v>15</v>
      </c>
      <c r="C181">
        <v>99</v>
      </c>
      <c r="D181">
        <v>48</v>
      </c>
      <c r="E181">
        <v>84</v>
      </c>
      <c r="F181">
        <f t="shared" si="12"/>
        <v>231</v>
      </c>
      <c r="G181">
        <f t="shared" si="13"/>
        <v>77</v>
      </c>
      <c r="H181" t="str">
        <f>IF(Table1[[#This Row],[Percentage]]&gt;=80,"A",IF(Table1[[#This Row],[Percentage]]&gt;=60,"B",IF(Table1[[#This Row],[Percentage]]&gt;=40,"C","F")))</f>
        <v>B</v>
      </c>
      <c r="I181" t="str">
        <f t="shared" si="14"/>
        <v>Pass</v>
      </c>
      <c r="J181" t="str">
        <f t="shared" si="15"/>
        <v>Above Avg</v>
      </c>
      <c r="K181">
        <f>RANK(Table1[[#This Row],[Total]],Table1[Total],0)</f>
        <v>75</v>
      </c>
      <c r="L181" t="str">
        <f t="shared" si="16"/>
        <v>Yes</v>
      </c>
    </row>
    <row r="182" spans="1:12" x14ac:dyDescent="0.3">
      <c r="A182">
        <v>281</v>
      </c>
      <c r="B182" t="s">
        <v>11</v>
      </c>
      <c r="C182">
        <v>68</v>
      </c>
      <c r="D182">
        <v>60</v>
      </c>
      <c r="E182">
        <v>94</v>
      </c>
      <c r="F182">
        <f t="shared" si="12"/>
        <v>222</v>
      </c>
      <c r="G182">
        <f t="shared" si="13"/>
        <v>74</v>
      </c>
      <c r="H182" t="str">
        <f>IF(Table1[[#This Row],[Percentage]]&gt;=80,"A",IF(Table1[[#This Row],[Percentage]]&gt;=60,"B",IF(Table1[[#This Row],[Percentage]]&gt;=40,"C","F")))</f>
        <v>B</v>
      </c>
      <c r="I182" t="str">
        <f t="shared" si="14"/>
        <v>Pass</v>
      </c>
      <c r="J182" t="str">
        <f t="shared" si="15"/>
        <v>Above Avg</v>
      </c>
      <c r="K182">
        <f>RANK(Table1[[#This Row],[Total]],Table1[Total],0)</f>
        <v>105</v>
      </c>
      <c r="L182" t="str">
        <f t="shared" si="16"/>
        <v>No</v>
      </c>
    </row>
    <row r="183" spans="1:12" x14ac:dyDescent="0.3">
      <c r="A183">
        <v>282</v>
      </c>
      <c r="B183" t="s">
        <v>14</v>
      </c>
      <c r="C183">
        <v>36</v>
      </c>
      <c r="D183">
        <v>56</v>
      </c>
      <c r="E183">
        <v>38</v>
      </c>
      <c r="F183">
        <f t="shared" si="12"/>
        <v>130</v>
      </c>
      <c r="G183">
        <f t="shared" si="13"/>
        <v>43.333333333333336</v>
      </c>
      <c r="H183" t="str">
        <f>IF(Table1[[#This Row],[Percentage]]&gt;=80,"A",IF(Table1[[#This Row],[Percentage]]&gt;=60,"B",IF(Table1[[#This Row],[Percentage]]&gt;=40,"C","F")))</f>
        <v>C</v>
      </c>
      <c r="I183" t="str">
        <f t="shared" si="14"/>
        <v>Pass</v>
      </c>
      <c r="J183" t="str">
        <f t="shared" si="15"/>
        <v>Below Avg</v>
      </c>
      <c r="K183">
        <f>RANK(Table1[[#This Row],[Total]],Table1[Total],0)</f>
        <v>487</v>
      </c>
      <c r="L183" t="str">
        <f t="shared" si="16"/>
        <v>No</v>
      </c>
    </row>
    <row r="184" spans="1:12" x14ac:dyDescent="0.3">
      <c r="A184">
        <v>283</v>
      </c>
      <c r="B184" t="s">
        <v>13</v>
      </c>
      <c r="C184">
        <v>78</v>
      </c>
      <c r="D184">
        <v>63</v>
      </c>
      <c r="E184">
        <v>61</v>
      </c>
      <c r="F184">
        <f t="shared" si="12"/>
        <v>202</v>
      </c>
      <c r="G184">
        <f t="shared" si="13"/>
        <v>67.333333333333329</v>
      </c>
      <c r="H184" t="str">
        <f>IF(Table1[[#This Row],[Percentage]]&gt;=80,"A",IF(Table1[[#This Row],[Percentage]]&gt;=60,"B",IF(Table1[[#This Row],[Percentage]]&gt;=40,"C","F")))</f>
        <v>B</v>
      </c>
      <c r="I184" t="str">
        <f t="shared" si="14"/>
        <v>Pass</v>
      </c>
      <c r="J184" t="str">
        <f t="shared" si="15"/>
        <v>Above Avg</v>
      </c>
      <c r="K184">
        <f>RANK(Table1[[#This Row],[Total]],Table1[Total],0)</f>
        <v>204</v>
      </c>
      <c r="L184" t="str">
        <f t="shared" si="16"/>
        <v>No</v>
      </c>
    </row>
    <row r="185" spans="1:12" x14ac:dyDescent="0.3">
      <c r="A185">
        <v>284</v>
      </c>
      <c r="B185" t="s">
        <v>9</v>
      </c>
      <c r="C185">
        <v>95</v>
      </c>
      <c r="D185">
        <v>61</v>
      </c>
      <c r="E185">
        <v>40</v>
      </c>
      <c r="F185">
        <f t="shared" si="12"/>
        <v>196</v>
      </c>
      <c r="G185">
        <f t="shared" si="13"/>
        <v>65.333333333333329</v>
      </c>
      <c r="H185" t="str">
        <f>IF(Table1[[#This Row],[Percentage]]&gt;=80,"A",IF(Table1[[#This Row],[Percentage]]&gt;=60,"B",IF(Table1[[#This Row],[Percentage]]&gt;=40,"C","F")))</f>
        <v>B</v>
      </c>
      <c r="I185" t="str">
        <f t="shared" si="14"/>
        <v>Pass</v>
      </c>
      <c r="J185" t="str">
        <f t="shared" si="15"/>
        <v>Above Avg</v>
      </c>
      <c r="K185">
        <f>RANK(Table1[[#This Row],[Total]],Table1[Total],0)</f>
        <v>235</v>
      </c>
      <c r="L185" t="str">
        <f t="shared" si="16"/>
        <v>No</v>
      </c>
    </row>
    <row r="186" spans="1:12" x14ac:dyDescent="0.3">
      <c r="A186">
        <v>285</v>
      </c>
      <c r="B186" t="s">
        <v>13</v>
      </c>
      <c r="C186">
        <v>33</v>
      </c>
      <c r="D186">
        <v>90</v>
      </c>
      <c r="E186">
        <v>75</v>
      </c>
      <c r="F186">
        <f t="shared" si="12"/>
        <v>198</v>
      </c>
      <c r="G186">
        <f t="shared" si="13"/>
        <v>66</v>
      </c>
      <c r="H186" t="str">
        <f>IF(Table1[[#This Row],[Percentage]]&gt;=80,"A",IF(Table1[[#This Row],[Percentage]]&gt;=60,"B",IF(Table1[[#This Row],[Percentage]]&gt;=40,"C","F")))</f>
        <v>B</v>
      </c>
      <c r="I186" t="str">
        <f t="shared" si="14"/>
        <v>Pass</v>
      </c>
      <c r="J186" t="str">
        <f t="shared" si="15"/>
        <v>Above Avg</v>
      </c>
      <c r="K186">
        <f>RANK(Table1[[#This Row],[Total]],Table1[Total],0)</f>
        <v>217</v>
      </c>
      <c r="L186" t="str">
        <f t="shared" si="16"/>
        <v>No</v>
      </c>
    </row>
    <row r="187" spans="1:12" x14ac:dyDescent="0.3">
      <c r="A187">
        <v>286</v>
      </c>
      <c r="B187" t="s">
        <v>9</v>
      </c>
      <c r="C187">
        <v>71</v>
      </c>
      <c r="D187">
        <v>79</v>
      </c>
      <c r="E187">
        <v>82</v>
      </c>
      <c r="F187">
        <f t="shared" si="12"/>
        <v>232</v>
      </c>
      <c r="G187">
        <f t="shared" si="13"/>
        <v>77.333333333333329</v>
      </c>
      <c r="H187" t="str">
        <f>IF(Table1[[#This Row],[Percentage]]&gt;=80,"A",IF(Table1[[#This Row],[Percentage]]&gt;=60,"B",IF(Table1[[#This Row],[Percentage]]&gt;=40,"C","F")))</f>
        <v>B</v>
      </c>
      <c r="I187" t="str">
        <f t="shared" si="14"/>
        <v>Pass</v>
      </c>
      <c r="J187" t="str">
        <f t="shared" si="15"/>
        <v>Above Avg</v>
      </c>
      <c r="K187">
        <f>RANK(Table1[[#This Row],[Total]],Table1[Total],0)</f>
        <v>70</v>
      </c>
      <c r="L187" t="str">
        <f t="shared" si="16"/>
        <v>Yes</v>
      </c>
    </row>
    <row r="188" spans="1:12" x14ac:dyDescent="0.3">
      <c r="A188">
        <v>287</v>
      </c>
      <c r="B188" t="s">
        <v>15</v>
      </c>
      <c r="C188">
        <v>46</v>
      </c>
      <c r="D188">
        <v>36</v>
      </c>
      <c r="E188">
        <v>38</v>
      </c>
      <c r="F188">
        <f t="shared" si="12"/>
        <v>120</v>
      </c>
      <c r="G188">
        <f t="shared" si="13"/>
        <v>40</v>
      </c>
      <c r="H188" t="str">
        <f>IF(Table1[[#This Row],[Percentage]]&gt;=80,"A",IF(Table1[[#This Row],[Percentage]]&gt;=60,"B",IF(Table1[[#This Row],[Percentage]]&gt;=40,"C","F")))</f>
        <v>C</v>
      </c>
      <c r="I188" t="str">
        <f t="shared" si="14"/>
        <v>Pass</v>
      </c>
      <c r="J188" t="str">
        <f t="shared" si="15"/>
        <v>Below Avg</v>
      </c>
      <c r="K188">
        <f>RANK(Table1[[#This Row],[Total]],Table1[Total],0)</f>
        <v>495</v>
      </c>
      <c r="L188" t="str">
        <f t="shared" si="16"/>
        <v>No</v>
      </c>
    </row>
    <row r="189" spans="1:12" x14ac:dyDescent="0.3">
      <c r="A189">
        <v>288</v>
      </c>
      <c r="B189" t="s">
        <v>11</v>
      </c>
      <c r="C189">
        <v>43</v>
      </c>
      <c r="D189">
        <v>41</v>
      </c>
      <c r="E189">
        <v>69</v>
      </c>
      <c r="F189">
        <f t="shared" si="12"/>
        <v>153</v>
      </c>
      <c r="G189">
        <f t="shared" si="13"/>
        <v>51</v>
      </c>
      <c r="H189" t="str">
        <f>IF(Table1[[#This Row],[Percentage]]&gt;=80,"A",IF(Table1[[#This Row],[Percentage]]&gt;=60,"B",IF(Table1[[#This Row],[Percentage]]&gt;=40,"C","F")))</f>
        <v>C</v>
      </c>
      <c r="I189" t="str">
        <f t="shared" si="14"/>
        <v>Pass</v>
      </c>
      <c r="J189" t="str">
        <f t="shared" si="15"/>
        <v>Below Avg</v>
      </c>
      <c r="K189">
        <f>RANK(Table1[[#This Row],[Total]],Table1[Total],0)</f>
        <v>433</v>
      </c>
      <c r="L189" t="str">
        <f t="shared" si="16"/>
        <v>No</v>
      </c>
    </row>
    <row r="190" spans="1:12" x14ac:dyDescent="0.3">
      <c r="A190">
        <v>289</v>
      </c>
      <c r="B190" t="s">
        <v>14</v>
      </c>
      <c r="C190">
        <v>33</v>
      </c>
      <c r="D190">
        <v>96</v>
      </c>
      <c r="E190">
        <v>51</v>
      </c>
      <c r="F190">
        <f t="shared" si="12"/>
        <v>180</v>
      </c>
      <c r="G190">
        <f t="shared" si="13"/>
        <v>60</v>
      </c>
      <c r="H190" t="str">
        <f>IF(Table1[[#This Row],[Percentage]]&gt;=80,"A",IF(Table1[[#This Row],[Percentage]]&gt;=60,"B",IF(Table1[[#This Row],[Percentage]]&gt;=40,"C","F")))</f>
        <v>B</v>
      </c>
      <c r="I190" t="str">
        <f t="shared" si="14"/>
        <v>Pass</v>
      </c>
      <c r="J190" t="str">
        <f t="shared" si="15"/>
        <v>Below Avg</v>
      </c>
      <c r="K190">
        <f>RANK(Table1[[#This Row],[Total]],Table1[Total],0)</f>
        <v>318</v>
      </c>
      <c r="L190" t="str">
        <f t="shared" si="16"/>
        <v>No</v>
      </c>
    </row>
    <row r="191" spans="1:12" x14ac:dyDescent="0.3">
      <c r="A191">
        <v>290</v>
      </c>
      <c r="B191" t="s">
        <v>12</v>
      </c>
      <c r="C191">
        <v>38</v>
      </c>
      <c r="D191">
        <v>41</v>
      </c>
      <c r="E191">
        <v>74</v>
      </c>
      <c r="F191">
        <f t="shared" si="12"/>
        <v>153</v>
      </c>
      <c r="G191">
        <f t="shared" si="13"/>
        <v>51</v>
      </c>
      <c r="H191" t="str">
        <f>IF(Table1[[#This Row],[Percentage]]&gt;=80,"A",IF(Table1[[#This Row],[Percentage]]&gt;=60,"B",IF(Table1[[#This Row],[Percentage]]&gt;=40,"C","F")))</f>
        <v>C</v>
      </c>
      <c r="I191" t="str">
        <f t="shared" si="14"/>
        <v>Pass</v>
      </c>
      <c r="J191" t="str">
        <f t="shared" si="15"/>
        <v>Below Avg</v>
      </c>
      <c r="K191">
        <f>RANK(Table1[[#This Row],[Total]],Table1[Total],0)</f>
        <v>433</v>
      </c>
      <c r="L191" t="str">
        <f t="shared" si="16"/>
        <v>No</v>
      </c>
    </row>
    <row r="192" spans="1:12" x14ac:dyDescent="0.3">
      <c r="A192">
        <v>291</v>
      </c>
      <c r="B192" t="s">
        <v>12</v>
      </c>
      <c r="C192">
        <v>67</v>
      </c>
      <c r="D192">
        <v>83</v>
      </c>
      <c r="E192">
        <v>89</v>
      </c>
      <c r="F192">
        <f t="shared" si="12"/>
        <v>239</v>
      </c>
      <c r="G192">
        <f t="shared" si="13"/>
        <v>79.666666666666671</v>
      </c>
      <c r="H192" t="str">
        <f>IF(Table1[[#This Row],[Percentage]]&gt;=80,"A",IF(Table1[[#This Row],[Percentage]]&gt;=60,"B",IF(Table1[[#This Row],[Percentage]]&gt;=40,"C","F")))</f>
        <v>B</v>
      </c>
      <c r="I192" t="str">
        <f t="shared" si="14"/>
        <v>Pass</v>
      </c>
      <c r="J192" t="str">
        <f t="shared" si="15"/>
        <v>Above Avg</v>
      </c>
      <c r="K192">
        <f>RANK(Table1[[#This Row],[Total]],Table1[Total],0)</f>
        <v>51</v>
      </c>
      <c r="L192" t="str">
        <f t="shared" si="16"/>
        <v>Yes</v>
      </c>
    </row>
    <row r="193" spans="1:12" x14ac:dyDescent="0.3">
      <c r="A193">
        <v>292</v>
      </c>
      <c r="B193" t="s">
        <v>8</v>
      </c>
      <c r="C193">
        <v>67</v>
      </c>
      <c r="D193">
        <v>69</v>
      </c>
      <c r="E193">
        <v>51</v>
      </c>
      <c r="F193">
        <f t="shared" si="12"/>
        <v>187</v>
      </c>
      <c r="G193">
        <f t="shared" si="13"/>
        <v>62.333333333333336</v>
      </c>
      <c r="H193" t="str">
        <f>IF(Table1[[#This Row],[Percentage]]&gt;=80,"A",IF(Table1[[#This Row],[Percentage]]&gt;=60,"B",IF(Table1[[#This Row],[Percentage]]&gt;=40,"C","F")))</f>
        <v>B</v>
      </c>
      <c r="I193" t="str">
        <f t="shared" si="14"/>
        <v>Pass</v>
      </c>
      <c r="J193" t="str">
        <f t="shared" si="15"/>
        <v>Below Avg</v>
      </c>
      <c r="K193">
        <f>RANK(Table1[[#This Row],[Total]],Table1[Total],0)</f>
        <v>281</v>
      </c>
      <c r="L193" t="str">
        <f t="shared" si="16"/>
        <v>No</v>
      </c>
    </row>
    <row r="194" spans="1:12" x14ac:dyDescent="0.3">
      <c r="A194">
        <v>293</v>
      </c>
      <c r="B194" t="s">
        <v>13</v>
      </c>
      <c r="C194">
        <v>63</v>
      </c>
      <c r="D194">
        <v>73</v>
      </c>
      <c r="E194">
        <v>45</v>
      </c>
      <c r="F194">
        <f t="shared" ref="F194:F257" si="17">SUM(C194:E194)</f>
        <v>181</v>
      </c>
      <c r="G194">
        <f t="shared" ref="G194:G257" si="18">F194/3</f>
        <v>60.333333333333336</v>
      </c>
      <c r="H194" t="str">
        <f>IF(Table1[[#This Row],[Percentage]]&gt;=80,"A",IF(Table1[[#This Row],[Percentage]]&gt;=60,"B",IF(Table1[[#This Row],[Percentage]]&gt;=40,"C","F")))</f>
        <v>B</v>
      </c>
      <c r="I194" t="str">
        <f t="shared" si="14"/>
        <v>Pass</v>
      </c>
      <c r="J194" t="str">
        <f t="shared" si="15"/>
        <v>Below Avg</v>
      </c>
      <c r="K194">
        <f>RANK(Table1[[#This Row],[Total]],Table1[Total],0)</f>
        <v>314</v>
      </c>
      <c r="L194" t="str">
        <f t="shared" si="16"/>
        <v>No</v>
      </c>
    </row>
    <row r="195" spans="1:12" x14ac:dyDescent="0.3">
      <c r="A195">
        <v>294</v>
      </c>
      <c r="B195" t="s">
        <v>10</v>
      </c>
      <c r="C195">
        <v>48</v>
      </c>
      <c r="D195">
        <v>68</v>
      </c>
      <c r="E195">
        <v>37</v>
      </c>
      <c r="F195">
        <f t="shared" si="17"/>
        <v>153</v>
      </c>
      <c r="G195">
        <f t="shared" si="18"/>
        <v>51</v>
      </c>
      <c r="H195" t="str">
        <f>IF(Table1[[#This Row],[Percentage]]&gt;=80,"A",IF(Table1[[#This Row],[Percentage]]&gt;=60,"B",IF(Table1[[#This Row],[Percentage]]&gt;=40,"C","F")))</f>
        <v>C</v>
      </c>
      <c r="I195" t="str">
        <f t="shared" ref="I195:I258" si="19">IF(AVERAGE(C195:E195)&gt;=40,"Pass","Fail")</f>
        <v>Pass</v>
      </c>
      <c r="J195" t="str">
        <f t="shared" ref="J195:J258" si="20">IF(G195&gt;AVERAGE($G$2:$G$501),"Above Avg","Below Avg")</f>
        <v>Below Avg</v>
      </c>
      <c r="K195">
        <f>RANK(Table1[[#This Row],[Total]],Table1[Total],0)</f>
        <v>433</v>
      </c>
      <c r="L195" t="str">
        <f t="shared" ref="L195:L258" si="21">IF(G195&gt;=75,"Yes","No")</f>
        <v>No</v>
      </c>
    </row>
    <row r="196" spans="1:12" x14ac:dyDescent="0.3">
      <c r="A196">
        <v>295</v>
      </c>
      <c r="B196" t="s">
        <v>13</v>
      </c>
      <c r="C196">
        <v>98</v>
      </c>
      <c r="D196">
        <v>61</v>
      </c>
      <c r="E196">
        <v>37</v>
      </c>
      <c r="F196">
        <f t="shared" si="17"/>
        <v>196</v>
      </c>
      <c r="G196">
        <f t="shared" si="18"/>
        <v>65.333333333333329</v>
      </c>
      <c r="H196" t="str">
        <f>IF(Table1[[#This Row],[Percentage]]&gt;=80,"A",IF(Table1[[#This Row],[Percentage]]&gt;=60,"B",IF(Table1[[#This Row],[Percentage]]&gt;=40,"C","F")))</f>
        <v>B</v>
      </c>
      <c r="I196" t="str">
        <f t="shared" si="19"/>
        <v>Pass</v>
      </c>
      <c r="J196" t="str">
        <f t="shared" si="20"/>
        <v>Above Avg</v>
      </c>
      <c r="K196">
        <f>RANK(Table1[[#This Row],[Total]],Table1[Total],0)</f>
        <v>235</v>
      </c>
      <c r="L196" t="str">
        <f t="shared" si="21"/>
        <v>No</v>
      </c>
    </row>
    <row r="197" spans="1:12" x14ac:dyDescent="0.3">
      <c r="A197">
        <v>296</v>
      </c>
      <c r="B197" t="s">
        <v>10</v>
      </c>
      <c r="C197">
        <v>91</v>
      </c>
      <c r="D197">
        <v>46</v>
      </c>
      <c r="E197">
        <v>66</v>
      </c>
      <c r="F197">
        <f t="shared" si="17"/>
        <v>203</v>
      </c>
      <c r="G197">
        <f t="shared" si="18"/>
        <v>67.666666666666671</v>
      </c>
      <c r="H197" t="str">
        <f>IF(Table1[[#This Row],[Percentage]]&gt;=80,"A",IF(Table1[[#This Row],[Percentage]]&gt;=60,"B",IF(Table1[[#This Row],[Percentage]]&gt;=40,"C","F")))</f>
        <v>B</v>
      </c>
      <c r="I197" t="str">
        <f t="shared" si="19"/>
        <v>Pass</v>
      </c>
      <c r="J197" t="str">
        <f t="shared" si="20"/>
        <v>Above Avg</v>
      </c>
      <c r="K197">
        <f>RANK(Table1[[#This Row],[Total]],Table1[Total],0)</f>
        <v>195</v>
      </c>
      <c r="L197" t="str">
        <f t="shared" si="21"/>
        <v>No</v>
      </c>
    </row>
    <row r="198" spans="1:12" x14ac:dyDescent="0.3">
      <c r="A198">
        <v>297</v>
      </c>
      <c r="B198" t="s">
        <v>8</v>
      </c>
      <c r="C198">
        <v>42</v>
      </c>
      <c r="D198">
        <v>46</v>
      </c>
      <c r="E198">
        <v>68</v>
      </c>
      <c r="F198">
        <f t="shared" si="17"/>
        <v>156</v>
      </c>
      <c r="G198">
        <f t="shared" si="18"/>
        <v>52</v>
      </c>
      <c r="H198" t="str">
        <f>IF(Table1[[#This Row],[Percentage]]&gt;=80,"A",IF(Table1[[#This Row],[Percentage]]&gt;=60,"B",IF(Table1[[#This Row],[Percentage]]&gt;=40,"C","F")))</f>
        <v>C</v>
      </c>
      <c r="I198" t="str">
        <f t="shared" si="19"/>
        <v>Pass</v>
      </c>
      <c r="J198" t="str">
        <f t="shared" si="20"/>
        <v>Below Avg</v>
      </c>
      <c r="K198">
        <f>RANK(Table1[[#This Row],[Total]],Table1[Total],0)</f>
        <v>422</v>
      </c>
      <c r="L198" t="str">
        <f t="shared" si="21"/>
        <v>No</v>
      </c>
    </row>
    <row r="199" spans="1:12" x14ac:dyDescent="0.3">
      <c r="A199">
        <v>298</v>
      </c>
      <c r="B199" t="s">
        <v>9</v>
      </c>
      <c r="C199">
        <v>67</v>
      </c>
      <c r="D199">
        <v>89</v>
      </c>
      <c r="E199">
        <v>50</v>
      </c>
      <c r="F199">
        <f t="shared" si="17"/>
        <v>206</v>
      </c>
      <c r="G199">
        <f t="shared" si="18"/>
        <v>68.666666666666671</v>
      </c>
      <c r="H199" t="str">
        <f>IF(Table1[[#This Row],[Percentage]]&gt;=80,"A",IF(Table1[[#This Row],[Percentage]]&gt;=60,"B",IF(Table1[[#This Row],[Percentage]]&gt;=40,"C","F")))</f>
        <v>B</v>
      </c>
      <c r="I199" t="str">
        <f t="shared" si="19"/>
        <v>Pass</v>
      </c>
      <c r="J199" t="str">
        <f t="shared" si="20"/>
        <v>Above Avg</v>
      </c>
      <c r="K199">
        <f>RANK(Table1[[#This Row],[Total]],Table1[Total],0)</f>
        <v>180</v>
      </c>
      <c r="L199" t="str">
        <f t="shared" si="21"/>
        <v>No</v>
      </c>
    </row>
    <row r="200" spans="1:12" x14ac:dyDescent="0.3">
      <c r="A200">
        <v>299</v>
      </c>
      <c r="B200" t="s">
        <v>13</v>
      </c>
      <c r="C200">
        <v>36</v>
      </c>
      <c r="D200">
        <v>51</v>
      </c>
      <c r="E200">
        <v>97</v>
      </c>
      <c r="F200">
        <f t="shared" si="17"/>
        <v>184</v>
      </c>
      <c r="G200">
        <f t="shared" si="18"/>
        <v>61.333333333333336</v>
      </c>
      <c r="H200" t="str">
        <f>IF(Table1[[#This Row],[Percentage]]&gt;=80,"A",IF(Table1[[#This Row],[Percentage]]&gt;=60,"B",IF(Table1[[#This Row],[Percentage]]&gt;=40,"C","F")))</f>
        <v>B</v>
      </c>
      <c r="I200" t="str">
        <f t="shared" si="19"/>
        <v>Pass</v>
      </c>
      <c r="J200" t="str">
        <f t="shared" si="20"/>
        <v>Below Avg</v>
      </c>
      <c r="K200">
        <f>RANK(Table1[[#This Row],[Total]],Table1[Total],0)</f>
        <v>298</v>
      </c>
      <c r="L200" t="str">
        <f t="shared" si="21"/>
        <v>No</v>
      </c>
    </row>
    <row r="201" spans="1:12" x14ac:dyDescent="0.3">
      <c r="A201">
        <v>300</v>
      </c>
      <c r="B201" t="s">
        <v>13</v>
      </c>
      <c r="C201">
        <v>97</v>
      </c>
      <c r="D201">
        <v>75</v>
      </c>
      <c r="E201">
        <v>54</v>
      </c>
      <c r="F201">
        <f t="shared" si="17"/>
        <v>226</v>
      </c>
      <c r="G201">
        <f t="shared" si="18"/>
        <v>75.333333333333329</v>
      </c>
      <c r="H201" t="str">
        <f>IF(Table1[[#This Row],[Percentage]]&gt;=80,"A",IF(Table1[[#This Row],[Percentage]]&gt;=60,"B",IF(Table1[[#This Row],[Percentage]]&gt;=40,"C","F")))</f>
        <v>B</v>
      </c>
      <c r="I201" t="str">
        <f t="shared" si="19"/>
        <v>Pass</v>
      </c>
      <c r="J201" t="str">
        <f t="shared" si="20"/>
        <v>Above Avg</v>
      </c>
      <c r="K201">
        <f>RANK(Table1[[#This Row],[Total]],Table1[Total],0)</f>
        <v>89</v>
      </c>
      <c r="L201" t="str">
        <f t="shared" si="21"/>
        <v>Yes</v>
      </c>
    </row>
    <row r="202" spans="1:12" x14ac:dyDescent="0.3">
      <c r="A202">
        <v>301</v>
      </c>
      <c r="B202" t="s">
        <v>11</v>
      </c>
      <c r="C202">
        <v>88</v>
      </c>
      <c r="D202">
        <v>42</v>
      </c>
      <c r="E202">
        <v>60</v>
      </c>
      <c r="F202">
        <f t="shared" si="17"/>
        <v>190</v>
      </c>
      <c r="G202">
        <f t="shared" si="18"/>
        <v>63.333333333333336</v>
      </c>
      <c r="H202" t="str">
        <f>IF(Table1[[#This Row],[Percentage]]&gt;=80,"A",IF(Table1[[#This Row],[Percentage]]&gt;=60,"B",IF(Table1[[#This Row],[Percentage]]&gt;=40,"C","F")))</f>
        <v>B</v>
      </c>
      <c r="I202" t="str">
        <f t="shared" si="19"/>
        <v>Pass</v>
      </c>
      <c r="J202" t="str">
        <f t="shared" si="20"/>
        <v>Below Avg</v>
      </c>
      <c r="K202">
        <f>RANK(Table1[[#This Row],[Total]],Table1[Total],0)</f>
        <v>271</v>
      </c>
      <c r="L202" t="str">
        <f t="shared" si="21"/>
        <v>No</v>
      </c>
    </row>
    <row r="203" spans="1:12" x14ac:dyDescent="0.3">
      <c r="A203">
        <v>302</v>
      </c>
      <c r="B203" t="s">
        <v>8</v>
      </c>
      <c r="C203">
        <v>58</v>
      </c>
      <c r="D203">
        <v>35</v>
      </c>
      <c r="E203">
        <v>84</v>
      </c>
      <c r="F203">
        <f t="shared" si="17"/>
        <v>177</v>
      </c>
      <c r="G203">
        <f t="shared" si="18"/>
        <v>59</v>
      </c>
      <c r="H203" t="str">
        <f>IF(Table1[[#This Row],[Percentage]]&gt;=80,"A",IF(Table1[[#This Row],[Percentage]]&gt;=60,"B",IF(Table1[[#This Row],[Percentage]]&gt;=40,"C","F")))</f>
        <v>C</v>
      </c>
      <c r="I203" t="str">
        <f t="shared" si="19"/>
        <v>Pass</v>
      </c>
      <c r="J203" t="str">
        <f t="shared" si="20"/>
        <v>Below Avg</v>
      </c>
      <c r="K203">
        <f>RANK(Table1[[#This Row],[Total]],Table1[Total],0)</f>
        <v>329</v>
      </c>
      <c r="L203" t="str">
        <f t="shared" si="21"/>
        <v>No</v>
      </c>
    </row>
    <row r="204" spans="1:12" x14ac:dyDescent="0.3">
      <c r="A204">
        <v>303</v>
      </c>
      <c r="B204" t="s">
        <v>12</v>
      </c>
      <c r="C204">
        <v>39</v>
      </c>
      <c r="D204">
        <v>76</v>
      </c>
      <c r="E204">
        <v>58</v>
      </c>
      <c r="F204">
        <f t="shared" si="17"/>
        <v>173</v>
      </c>
      <c r="G204">
        <f t="shared" si="18"/>
        <v>57.666666666666664</v>
      </c>
      <c r="H204" t="str">
        <f>IF(Table1[[#This Row],[Percentage]]&gt;=80,"A",IF(Table1[[#This Row],[Percentage]]&gt;=60,"B",IF(Table1[[#This Row],[Percentage]]&gt;=40,"C","F")))</f>
        <v>C</v>
      </c>
      <c r="I204" t="str">
        <f t="shared" si="19"/>
        <v>Pass</v>
      </c>
      <c r="J204" t="str">
        <f t="shared" si="20"/>
        <v>Below Avg</v>
      </c>
      <c r="K204">
        <f>RANK(Table1[[#This Row],[Total]],Table1[Total],0)</f>
        <v>346</v>
      </c>
      <c r="L204" t="str">
        <f t="shared" si="21"/>
        <v>No</v>
      </c>
    </row>
    <row r="205" spans="1:12" x14ac:dyDescent="0.3">
      <c r="A205">
        <v>304</v>
      </c>
      <c r="B205" t="s">
        <v>15</v>
      </c>
      <c r="C205">
        <v>69</v>
      </c>
      <c r="D205">
        <v>58</v>
      </c>
      <c r="E205">
        <v>31</v>
      </c>
      <c r="F205">
        <f t="shared" si="17"/>
        <v>158</v>
      </c>
      <c r="G205">
        <f t="shared" si="18"/>
        <v>52.666666666666664</v>
      </c>
      <c r="H205" t="str">
        <f>IF(Table1[[#This Row],[Percentage]]&gt;=80,"A",IF(Table1[[#This Row],[Percentage]]&gt;=60,"B",IF(Table1[[#This Row],[Percentage]]&gt;=40,"C","F")))</f>
        <v>C</v>
      </c>
      <c r="I205" t="str">
        <f t="shared" si="19"/>
        <v>Pass</v>
      </c>
      <c r="J205" t="str">
        <f t="shared" si="20"/>
        <v>Below Avg</v>
      </c>
      <c r="K205">
        <f>RANK(Table1[[#This Row],[Total]],Table1[Total],0)</f>
        <v>411</v>
      </c>
      <c r="L205" t="str">
        <f t="shared" si="21"/>
        <v>No</v>
      </c>
    </row>
    <row r="206" spans="1:12" x14ac:dyDescent="0.3">
      <c r="A206">
        <v>305</v>
      </c>
      <c r="B206" t="s">
        <v>12</v>
      </c>
      <c r="C206">
        <v>65</v>
      </c>
      <c r="D206">
        <v>59</v>
      </c>
      <c r="E206">
        <v>89</v>
      </c>
      <c r="F206">
        <f t="shared" si="17"/>
        <v>213</v>
      </c>
      <c r="G206">
        <f t="shared" si="18"/>
        <v>71</v>
      </c>
      <c r="H206" t="str">
        <f>IF(Table1[[#This Row],[Percentage]]&gt;=80,"A",IF(Table1[[#This Row],[Percentage]]&gt;=60,"B",IF(Table1[[#This Row],[Percentage]]&gt;=40,"C","F")))</f>
        <v>B</v>
      </c>
      <c r="I206" t="str">
        <f t="shared" si="19"/>
        <v>Pass</v>
      </c>
      <c r="J206" t="str">
        <f t="shared" si="20"/>
        <v>Above Avg</v>
      </c>
      <c r="K206">
        <f>RANK(Table1[[#This Row],[Total]],Table1[Total],0)</f>
        <v>144</v>
      </c>
      <c r="L206" t="str">
        <f t="shared" si="21"/>
        <v>No</v>
      </c>
    </row>
    <row r="207" spans="1:12" x14ac:dyDescent="0.3">
      <c r="A207">
        <v>306</v>
      </c>
      <c r="B207" t="s">
        <v>11</v>
      </c>
      <c r="C207">
        <v>72</v>
      </c>
      <c r="D207">
        <v>98</v>
      </c>
      <c r="E207">
        <v>96</v>
      </c>
      <c r="F207">
        <f t="shared" si="17"/>
        <v>266</v>
      </c>
      <c r="G207">
        <f t="shared" si="18"/>
        <v>88.666666666666671</v>
      </c>
      <c r="H207" t="str">
        <f>IF(Table1[[#This Row],[Percentage]]&gt;=80,"A",IF(Table1[[#This Row],[Percentage]]&gt;=60,"B",IF(Table1[[#This Row],[Percentage]]&gt;=40,"C","F")))</f>
        <v>A</v>
      </c>
      <c r="I207" t="str">
        <f t="shared" si="19"/>
        <v>Pass</v>
      </c>
      <c r="J207" t="str">
        <f t="shared" si="20"/>
        <v>Above Avg</v>
      </c>
      <c r="K207">
        <f>RANK(Table1[[#This Row],[Total]],Table1[Total],0)</f>
        <v>8</v>
      </c>
      <c r="L207" t="str">
        <f t="shared" si="21"/>
        <v>Yes</v>
      </c>
    </row>
    <row r="208" spans="1:12" x14ac:dyDescent="0.3">
      <c r="A208">
        <v>307</v>
      </c>
      <c r="B208" t="s">
        <v>14</v>
      </c>
      <c r="C208">
        <v>52</v>
      </c>
      <c r="D208">
        <v>67</v>
      </c>
      <c r="E208">
        <v>94</v>
      </c>
      <c r="F208">
        <f t="shared" si="17"/>
        <v>213</v>
      </c>
      <c r="G208">
        <f t="shared" si="18"/>
        <v>71</v>
      </c>
      <c r="H208" t="str">
        <f>IF(Table1[[#This Row],[Percentage]]&gt;=80,"A",IF(Table1[[#This Row],[Percentage]]&gt;=60,"B",IF(Table1[[#This Row],[Percentage]]&gt;=40,"C","F")))</f>
        <v>B</v>
      </c>
      <c r="I208" t="str">
        <f t="shared" si="19"/>
        <v>Pass</v>
      </c>
      <c r="J208" t="str">
        <f t="shared" si="20"/>
        <v>Above Avg</v>
      </c>
      <c r="K208">
        <f>RANK(Table1[[#This Row],[Total]],Table1[Total],0)</f>
        <v>144</v>
      </c>
      <c r="L208" t="str">
        <f t="shared" si="21"/>
        <v>No</v>
      </c>
    </row>
    <row r="209" spans="1:12" x14ac:dyDescent="0.3">
      <c r="A209">
        <v>308</v>
      </c>
      <c r="B209" t="s">
        <v>11</v>
      </c>
      <c r="C209">
        <v>96</v>
      </c>
      <c r="D209">
        <v>66</v>
      </c>
      <c r="E209">
        <v>98</v>
      </c>
      <c r="F209">
        <f t="shared" si="17"/>
        <v>260</v>
      </c>
      <c r="G209">
        <f t="shared" si="18"/>
        <v>86.666666666666671</v>
      </c>
      <c r="H209" t="str">
        <f>IF(Table1[[#This Row],[Percentage]]&gt;=80,"A",IF(Table1[[#This Row],[Percentage]]&gt;=60,"B",IF(Table1[[#This Row],[Percentage]]&gt;=40,"C","F")))</f>
        <v>A</v>
      </c>
      <c r="I209" t="str">
        <f t="shared" si="19"/>
        <v>Pass</v>
      </c>
      <c r="J209" t="str">
        <f t="shared" si="20"/>
        <v>Above Avg</v>
      </c>
      <c r="K209">
        <f>RANK(Table1[[#This Row],[Total]],Table1[Total],0)</f>
        <v>16</v>
      </c>
      <c r="L209" t="str">
        <f t="shared" si="21"/>
        <v>Yes</v>
      </c>
    </row>
    <row r="210" spans="1:12" x14ac:dyDescent="0.3">
      <c r="A210">
        <v>309</v>
      </c>
      <c r="B210" t="s">
        <v>8</v>
      </c>
      <c r="C210">
        <v>59</v>
      </c>
      <c r="D210">
        <v>39</v>
      </c>
      <c r="E210">
        <v>31</v>
      </c>
      <c r="F210">
        <f t="shared" si="17"/>
        <v>129</v>
      </c>
      <c r="G210">
        <f t="shared" si="18"/>
        <v>43</v>
      </c>
      <c r="H210" t="str">
        <f>IF(Table1[[#This Row],[Percentage]]&gt;=80,"A",IF(Table1[[#This Row],[Percentage]]&gt;=60,"B",IF(Table1[[#This Row],[Percentage]]&gt;=40,"C","F")))</f>
        <v>C</v>
      </c>
      <c r="I210" t="str">
        <f t="shared" si="19"/>
        <v>Pass</v>
      </c>
      <c r="J210" t="str">
        <f t="shared" si="20"/>
        <v>Below Avg</v>
      </c>
      <c r="K210">
        <f>RANK(Table1[[#This Row],[Total]],Table1[Total],0)</f>
        <v>488</v>
      </c>
      <c r="L210" t="str">
        <f t="shared" si="21"/>
        <v>No</v>
      </c>
    </row>
    <row r="211" spans="1:12" x14ac:dyDescent="0.3">
      <c r="A211">
        <v>310</v>
      </c>
      <c r="B211" t="s">
        <v>15</v>
      </c>
      <c r="C211">
        <v>48</v>
      </c>
      <c r="D211">
        <v>60</v>
      </c>
      <c r="E211">
        <v>39</v>
      </c>
      <c r="F211">
        <f t="shared" si="17"/>
        <v>147</v>
      </c>
      <c r="G211">
        <f t="shared" si="18"/>
        <v>49</v>
      </c>
      <c r="H211" t="str">
        <f>IF(Table1[[#This Row],[Percentage]]&gt;=80,"A",IF(Table1[[#This Row],[Percentage]]&gt;=60,"B",IF(Table1[[#This Row],[Percentage]]&gt;=40,"C","F")))</f>
        <v>C</v>
      </c>
      <c r="I211" t="str">
        <f t="shared" si="19"/>
        <v>Pass</v>
      </c>
      <c r="J211" t="str">
        <f t="shared" si="20"/>
        <v>Below Avg</v>
      </c>
      <c r="K211">
        <f>RANK(Table1[[#This Row],[Total]],Table1[Total],0)</f>
        <v>451</v>
      </c>
      <c r="L211" t="str">
        <f t="shared" si="21"/>
        <v>No</v>
      </c>
    </row>
    <row r="212" spans="1:12" x14ac:dyDescent="0.3">
      <c r="A212">
        <v>311</v>
      </c>
      <c r="B212" t="s">
        <v>8</v>
      </c>
      <c r="C212">
        <v>63</v>
      </c>
      <c r="D212">
        <v>88</v>
      </c>
      <c r="E212">
        <v>85</v>
      </c>
      <c r="F212">
        <f t="shared" si="17"/>
        <v>236</v>
      </c>
      <c r="G212">
        <f t="shared" si="18"/>
        <v>78.666666666666671</v>
      </c>
      <c r="H212" t="str">
        <f>IF(Table1[[#This Row],[Percentage]]&gt;=80,"A",IF(Table1[[#This Row],[Percentage]]&gt;=60,"B",IF(Table1[[#This Row],[Percentage]]&gt;=40,"C","F")))</f>
        <v>B</v>
      </c>
      <c r="I212" t="str">
        <f t="shared" si="19"/>
        <v>Pass</v>
      </c>
      <c r="J212" t="str">
        <f t="shared" si="20"/>
        <v>Above Avg</v>
      </c>
      <c r="K212">
        <f>RANK(Table1[[#This Row],[Total]],Table1[Total],0)</f>
        <v>59</v>
      </c>
      <c r="L212" t="str">
        <f t="shared" si="21"/>
        <v>Yes</v>
      </c>
    </row>
    <row r="213" spans="1:12" x14ac:dyDescent="0.3">
      <c r="A213">
        <v>312</v>
      </c>
      <c r="B213" t="s">
        <v>8</v>
      </c>
      <c r="C213">
        <v>61</v>
      </c>
      <c r="D213">
        <v>99</v>
      </c>
      <c r="E213">
        <v>81</v>
      </c>
      <c r="F213">
        <f t="shared" si="17"/>
        <v>241</v>
      </c>
      <c r="G213">
        <f t="shared" si="18"/>
        <v>80.333333333333329</v>
      </c>
      <c r="H213" t="str">
        <f>IF(Table1[[#This Row],[Percentage]]&gt;=80,"A",IF(Table1[[#This Row],[Percentage]]&gt;=60,"B",IF(Table1[[#This Row],[Percentage]]&gt;=40,"C","F")))</f>
        <v>A</v>
      </c>
      <c r="I213" t="str">
        <f t="shared" si="19"/>
        <v>Pass</v>
      </c>
      <c r="J213" t="str">
        <f t="shared" si="20"/>
        <v>Above Avg</v>
      </c>
      <c r="K213">
        <f>RANK(Table1[[#This Row],[Total]],Table1[Total],0)</f>
        <v>48</v>
      </c>
      <c r="L213" t="str">
        <f t="shared" si="21"/>
        <v>Yes</v>
      </c>
    </row>
    <row r="214" spans="1:12" x14ac:dyDescent="0.3">
      <c r="A214">
        <v>313</v>
      </c>
      <c r="B214" t="s">
        <v>9</v>
      </c>
      <c r="C214">
        <v>73</v>
      </c>
      <c r="D214">
        <v>47</v>
      </c>
      <c r="E214">
        <v>38</v>
      </c>
      <c r="F214">
        <f t="shared" si="17"/>
        <v>158</v>
      </c>
      <c r="G214">
        <f t="shared" si="18"/>
        <v>52.666666666666664</v>
      </c>
      <c r="H214" t="str">
        <f>IF(Table1[[#This Row],[Percentage]]&gt;=80,"A",IF(Table1[[#This Row],[Percentage]]&gt;=60,"B",IF(Table1[[#This Row],[Percentage]]&gt;=40,"C","F")))</f>
        <v>C</v>
      </c>
      <c r="I214" t="str">
        <f t="shared" si="19"/>
        <v>Pass</v>
      </c>
      <c r="J214" t="str">
        <f t="shared" si="20"/>
        <v>Below Avg</v>
      </c>
      <c r="K214">
        <f>RANK(Table1[[#This Row],[Total]],Table1[Total],0)</f>
        <v>411</v>
      </c>
      <c r="L214" t="str">
        <f t="shared" si="21"/>
        <v>No</v>
      </c>
    </row>
    <row r="215" spans="1:12" x14ac:dyDescent="0.3">
      <c r="A215">
        <v>314</v>
      </c>
      <c r="B215" t="s">
        <v>12</v>
      </c>
      <c r="C215">
        <v>48</v>
      </c>
      <c r="D215">
        <v>73</v>
      </c>
      <c r="E215">
        <v>71</v>
      </c>
      <c r="F215">
        <f t="shared" si="17"/>
        <v>192</v>
      </c>
      <c r="G215">
        <f t="shared" si="18"/>
        <v>64</v>
      </c>
      <c r="H215" t="str">
        <f>IF(Table1[[#This Row],[Percentage]]&gt;=80,"A",IF(Table1[[#This Row],[Percentage]]&gt;=60,"B",IF(Table1[[#This Row],[Percentage]]&gt;=40,"C","F")))</f>
        <v>B</v>
      </c>
      <c r="I215" t="str">
        <f t="shared" si="19"/>
        <v>Pass</v>
      </c>
      <c r="J215" t="str">
        <f t="shared" si="20"/>
        <v>Below Avg</v>
      </c>
      <c r="K215">
        <f>RANK(Table1[[#This Row],[Total]],Table1[Total],0)</f>
        <v>259</v>
      </c>
      <c r="L215" t="str">
        <f t="shared" si="21"/>
        <v>No</v>
      </c>
    </row>
    <row r="216" spans="1:12" x14ac:dyDescent="0.3">
      <c r="A216">
        <v>315</v>
      </c>
      <c r="B216" t="s">
        <v>12</v>
      </c>
      <c r="C216">
        <v>100</v>
      </c>
      <c r="D216">
        <v>95</v>
      </c>
      <c r="E216">
        <v>75</v>
      </c>
      <c r="F216">
        <f t="shared" si="17"/>
        <v>270</v>
      </c>
      <c r="G216">
        <f t="shared" si="18"/>
        <v>90</v>
      </c>
      <c r="H216" t="str">
        <f>IF(Table1[[#This Row],[Percentage]]&gt;=80,"A",IF(Table1[[#This Row],[Percentage]]&gt;=60,"B",IF(Table1[[#This Row],[Percentage]]&gt;=40,"C","F")))</f>
        <v>A</v>
      </c>
      <c r="I216" t="str">
        <f t="shared" si="19"/>
        <v>Pass</v>
      </c>
      <c r="J216" t="str">
        <f t="shared" si="20"/>
        <v>Above Avg</v>
      </c>
      <c r="K216">
        <f>RANK(Table1[[#This Row],[Total]],Table1[Total],0)</f>
        <v>6</v>
      </c>
      <c r="L216" t="str">
        <f t="shared" si="21"/>
        <v>Yes</v>
      </c>
    </row>
    <row r="217" spans="1:12" x14ac:dyDescent="0.3">
      <c r="A217">
        <v>316</v>
      </c>
      <c r="B217" t="s">
        <v>10</v>
      </c>
      <c r="C217">
        <v>34</v>
      </c>
      <c r="D217">
        <v>80</v>
      </c>
      <c r="E217">
        <v>71</v>
      </c>
      <c r="F217">
        <f t="shared" si="17"/>
        <v>185</v>
      </c>
      <c r="G217">
        <f t="shared" si="18"/>
        <v>61.666666666666664</v>
      </c>
      <c r="H217" t="str">
        <f>IF(Table1[[#This Row],[Percentage]]&gt;=80,"A",IF(Table1[[#This Row],[Percentage]]&gt;=60,"B",IF(Table1[[#This Row],[Percentage]]&gt;=40,"C","F")))</f>
        <v>B</v>
      </c>
      <c r="I217" t="str">
        <f t="shared" si="19"/>
        <v>Pass</v>
      </c>
      <c r="J217" t="str">
        <f t="shared" si="20"/>
        <v>Below Avg</v>
      </c>
      <c r="K217">
        <f>RANK(Table1[[#This Row],[Total]],Table1[Total],0)</f>
        <v>292</v>
      </c>
      <c r="L217" t="str">
        <f t="shared" si="21"/>
        <v>No</v>
      </c>
    </row>
    <row r="218" spans="1:12" x14ac:dyDescent="0.3">
      <c r="A218">
        <v>317</v>
      </c>
      <c r="B218" t="s">
        <v>11</v>
      </c>
      <c r="C218">
        <v>36</v>
      </c>
      <c r="D218">
        <v>35</v>
      </c>
      <c r="E218">
        <v>93</v>
      </c>
      <c r="F218">
        <f t="shared" si="17"/>
        <v>164</v>
      </c>
      <c r="G218">
        <f t="shared" si="18"/>
        <v>54.666666666666664</v>
      </c>
      <c r="H218" t="str">
        <f>IF(Table1[[#This Row],[Percentage]]&gt;=80,"A",IF(Table1[[#This Row],[Percentage]]&gt;=60,"B",IF(Table1[[#This Row],[Percentage]]&gt;=40,"C","F")))</f>
        <v>C</v>
      </c>
      <c r="I218" t="str">
        <f t="shared" si="19"/>
        <v>Pass</v>
      </c>
      <c r="J218" t="str">
        <f t="shared" si="20"/>
        <v>Below Avg</v>
      </c>
      <c r="K218">
        <f>RANK(Table1[[#This Row],[Total]],Table1[Total],0)</f>
        <v>392</v>
      </c>
      <c r="L218" t="str">
        <f t="shared" si="21"/>
        <v>No</v>
      </c>
    </row>
    <row r="219" spans="1:12" x14ac:dyDescent="0.3">
      <c r="A219">
        <v>318</v>
      </c>
      <c r="B219" t="s">
        <v>12</v>
      </c>
      <c r="C219">
        <v>50</v>
      </c>
      <c r="D219">
        <v>95</v>
      </c>
      <c r="E219">
        <v>48</v>
      </c>
      <c r="F219">
        <f t="shared" si="17"/>
        <v>193</v>
      </c>
      <c r="G219">
        <f t="shared" si="18"/>
        <v>64.333333333333329</v>
      </c>
      <c r="H219" t="str">
        <f>IF(Table1[[#This Row],[Percentage]]&gt;=80,"A",IF(Table1[[#This Row],[Percentage]]&gt;=60,"B",IF(Table1[[#This Row],[Percentage]]&gt;=40,"C","F")))</f>
        <v>B</v>
      </c>
      <c r="I219" t="str">
        <f t="shared" si="19"/>
        <v>Pass</v>
      </c>
      <c r="J219" t="str">
        <f t="shared" si="20"/>
        <v>Below Avg</v>
      </c>
      <c r="K219">
        <f>RANK(Table1[[#This Row],[Total]],Table1[Total],0)</f>
        <v>254</v>
      </c>
      <c r="L219" t="str">
        <f t="shared" si="21"/>
        <v>No</v>
      </c>
    </row>
    <row r="220" spans="1:12" x14ac:dyDescent="0.3">
      <c r="A220">
        <v>319</v>
      </c>
      <c r="B220" t="s">
        <v>13</v>
      </c>
      <c r="C220">
        <v>78</v>
      </c>
      <c r="D220">
        <v>30</v>
      </c>
      <c r="E220">
        <v>100</v>
      </c>
      <c r="F220">
        <f t="shared" si="17"/>
        <v>208</v>
      </c>
      <c r="G220">
        <f t="shared" si="18"/>
        <v>69.333333333333329</v>
      </c>
      <c r="H220" t="str">
        <f>IF(Table1[[#This Row],[Percentage]]&gt;=80,"A",IF(Table1[[#This Row],[Percentage]]&gt;=60,"B",IF(Table1[[#This Row],[Percentage]]&gt;=40,"C","F")))</f>
        <v>B</v>
      </c>
      <c r="I220" t="str">
        <f t="shared" si="19"/>
        <v>Pass</v>
      </c>
      <c r="J220" t="str">
        <f t="shared" si="20"/>
        <v>Above Avg</v>
      </c>
      <c r="K220">
        <f>RANK(Table1[[#This Row],[Total]],Table1[Total],0)</f>
        <v>172</v>
      </c>
      <c r="L220" t="str">
        <f t="shared" si="21"/>
        <v>No</v>
      </c>
    </row>
    <row r="221" spans="1:12" x14ac:dyDescent="0.3">
      <c r="A221">
        <v>320</v>
      </c>
      <c r="B221" t="s">
        <v>12</v>
      </c>
      <c r="C221">
        <v>52</v>
      </c>
      <c r="D221">
        <v>78</v>
      </c>
      <c r="E221">
        <v>57</v>
      </c>
      <c r="F221">
        <f t="shared" si="17"/>
        <v>187</v>
      </c>
      <c r="G221">
        <f t="shared" si="18"/>
        <v>62.333333333333336</v>
      </c>
      <c r="H221" t="str">
        <f>IF(Table1[[#This Row],[Percentage]]&gt;=80,"A",IF(Table1[[#This Row],[Percentage]]&gt;=60,"B",IF(Table1[[#This Row],[Percentage]]&gt;=40,"C","F")))</f>
        <v>B</v>
      </c>
      <c r="I221" t="str">
        <f t="shared" si="19"/>
        <v>Pass</v>
      </c>
      <c r="J221" t="str">
        <f t="shared" si="20"/>
        <v>Below Avg</v>
      </c>
      <c r="K221">
        <f>RANK(Table1[[#This Row],[Total]],Table1[Total],0)</f>
        <v>281</v>
      </c>
      <c r="L221" t="str">
        <f t="shared" si="21"/>
        <v>No</v>
      </c>
    </row>
    <row r="222" spans="1:12" x14ac:dyDescent="0.3">
      <c r="A222">
        <v>321</v>
      </c>
      <c r="B222" t="s">
        <v>10</v>
      </c>
      <c r="C222">
        <v>92</v>
      </c>
      <c r="D222">
        <v>33</v>
      </c>
      <c r="E222">
        <v>50</v>
      </c>
      <c r="F222">
        <f t="shared" si="17"/>
        <v>175</v>
      </c>
      <c r="G222">
        <f t="shared" si="18"/>
        <v>58.333333333333336</v>
      </c>
      <c r="H222" t="str">
        <f>IF(Table1[[#This Row],[Percentage]]&gt;=80,"A",IF(Table1[[#This Row],[Percentage]]&gt;=60,"B",IF(Table1[[#This Row],[Percentage]]&gt;=40,"C","F")))</f>
        <v>C</v>
      </c>
      <c r="I222" t="str">
        <f t="shared" si="19"/>
        <v>Pass</v>
      </c>
      <c r="J222" t="str">
        <f t="shared" si="20"/>
        <v>Below Avg</v>
      </c>
      <c r="K222">
        <f>RANK(Table1[[#This Row],[Total]],Table1[Total],0)</f>
        <v>336</v>
      </c>
      <c r="L222" t="str">
        <f t="shared" si="21"/>
        <v>No</v>
      </c>
    </row>
    <row r="223" spans="1:12" x14ac:dyDescent="0.3">
      <c r="A223">
        <v>322</v>
      </c>
      <c r="B223" t="s">
        <v>14</v>
      </c>
      <c r="C223">
        <v>54</v>
      </c>
      <c r="D223">
        <v>46</v>
      </c>
      <c r="E223">
        <v>70</v>
      </c>
      <c r="F223">
        <f t="shared" si="17"/>
        <v>170</v>
      </c>
      <c r="G223">
        <f t="shared" si="18"/>
        <v>56.666666666666664</v>
      </c>
      <c r="H223" t="str">
        <f>IF(Table1[[#This Row],[Percentage]]&gt;=80,"A",IF(Table1[[#This Row],[Percentage]]&gt;=60,"B",IF(Table1[[#This Row],[Percentage]]&gt;=40,"C","F")))</f>
        <v>C</v>
      </c>
      <c r="I223" t="str">
        <f t="shared" si="19"/>
        <v>Pass</v>
      </c>
      <c r="J223" t="str">
        <f t="shared" si="20"/>
        <v>Below Avg</v>
      </c>
      <c r="K223">
        <f>RANK(Table1[[#This Row],[Total]],Table1[Total],0)</f>
        <v>364</v>
      </c>
      <c r="L223" t="str">
        <f t="shared" si="21"/>
        <v>No</v>
      </c>
    </row>
    <row r="224" spans="1:12" x14ac:dyDescent="0.3">
      <c r="A224">
        <v>323</v>
      </c>
      <c r="B224" t="s">
        <v>12</v>
      </c>
      <c r="C224">
        <v>50</v>
      </c>
      <c r="D224">
        <v>86</v>
      </c>
      <c r="E224">
        <v>61</v>
      </c>
      <c r="F224">
        <f t="shared" si="17"/>
        <v>197</v>
      </c>
      <c r="G224">
        <f t="shared" si="18"/>
        <v>65.666666666666671</v>
      </c>
      <c r="H224" t="str">
        <f>IF(Table1[[#This Row],[Percentage]]&gt;=80,"A",IF(Table1[[#This Row],[Percentage]]&gt;=60,"B",IF(Table1[[#This Row],[Percentage]]&gt;=40,"C","F")))</f>
        <v>B</v>
      </c>
      <c r="I224" t="str">
        <f t="shared" si="19"/>
        <v>Pass</v>
      </c>
      <c r="J224" t="str">
        <f t="shared" si="20"/>
        <v>Above Avg</v>
      </c>
      <c r="K224">
        <f>RANK(Table1[[#This Row],[Total]],Table1[Total],0)</f>
        <v>224</v>
      </c>
      <c r="L224" t="str">
        <f t="shared" si="21"/>
        <v>No</v>
      </c>
    </row>
    <row r="225" spans="1:12" x14ac:dyDescent="0.3">
      <c r="A225">
        <v>324</v>
      </c>
      <c r="B225" t="s">
        <v>12</v>
      </c>
      <c r="C225">
        <v>68</v>
      </c>
      <c r="D225">
        <v>38</v>
      </c>
      <c r="E225">
        <v>39</v>
      </c>
      <c r="F225">
        <f t="shared" si="17"/>
        <v>145</v>
      </c>
      <c r="G225">
        <f t="shared" si="18"/>
        <v>48.333333333333336</v>
      </c>
      <c r="H225" t="str">
        <f>IF(Table1[[#This Row],[Percentage]]&gt;=80,"A",IF(Table1[[#This Row],[Percentage]]&gt;=60,"B",IF(Table1[[#This Row],[Percentage]]&gt;=40,"C","F")))</f>
        <v>C</v>
      </c>
      <c r="I225" t="str">
        <f t="shared" si="19"/>
        <v>Pass</v>
      </c>
      <c r="J225" t="str">
        <f t="shared" si="20"/>
        <v>Below Avg</v>
      </c>
      <c r="K225">
        <f>RANK(Table1[[#This Row],[Total]],Table1[Total],0)</f>
        <v>454</v>
      </c>
      <c r="L225" t="str">
        <f t="shared" si="21"/>
        <v>No</v>
      </c>
    </row>
    <row r="226" spans="1:12" x14ac:dyDescent="0.3">
      <c r="A226">
        <v>325</v>
      </c>
      <c r="B226" t="s">
        <v>9</v>
      </c>
      <c r="C226">
        <v>74</v>
      </c>
      <c r="D226">
        <v>100</v>
      </c>
      <c r="E226">
        <v>42</v>
      </c>
      <c r="F226">
        <f t="shared" si="17"/>
        <v>216</v>
      </c>
      <c r="G226">
        <f t="shared" si="18"/>
        <v>72</v>
      </c>
      <c r="H226" t="str">
        <f>IF(Table1[[#This Row],[Percentage]]&gt;=80,"A",IF(Table1[[#This Row],[Percentage]]&gt;=60,"B",IF(Table1[[#This Row],[Percentage]]&gt;=40,"C","F")))</f>
        <v>B</v>
      </c>
      <c r="I226" t="str">
        <f t="shared" si="19"/>
        <v>Pass</v>
      </c>
      <c r="J226" t="str">
        <f t="shared" si="20"/>
        <v>Above Avg</v>
      </c>
      <c r="K226">
        <f>RANK(Table1[[#This Row],[Total]],Table1[Total],0)</f>
        <v>130</v>
      </c>
      <c r="L226" t="str">
        <f t="shared" si="21"/>
        <v>No</v>
      </c>
    </row>
    <row r="227" spans="1:12" x14ac:dyDescent="0.3">
      <c r="A227">
        <v>326</v>
      </c>
      <c r="B227" t="s">
        <v>9</v>
      </c>
      <c r="C227">
        <v>56</v>
      </c>
      <c r="D227">
        <v>85</v>
      </c>
      <c r="E227">
        <v>71</v>
      </c>
      <c r="F227">
        <f t="shared" si="17"/>
        <v>212</v>
      </c>
      <c r="G227">
        <f t="shared" si="18"/>
        <v>70.666666666666671</v>
      </c>
      <c r="H227" t="str">
        <f>IF(Table1[[#This Row],[Percentage]]&gt;=80,"A",IF(Table1[[#This Row],[Percentage]]&gt;=60,"B",IF(Table1[[#This Row],[Percentage]]&gt;=40,"C","F")))</f>
        <v>B</v>
      </c>
      <c r="I227" t="str">
        <f t="shared" si="19"/>
        <v>Pass</v>
      </c>
      <c r="J227" t="str">
        <f t="shared" si="20"/>
        <v>Above Avg</v>
      </c>
      <c r="K227">
        <f>RANK(Table1[[#This Row],[Total]],Table1[Total],0)</f>
        <v>149</v>
      </c>
      <c r="L227" t="str">
        <f t="shared" si="21"/>
        <v>No</v>
      </c>
    </row>
    <row r="228" spans="1:12" x14ac:dyDescent="0.3">
      <c r="A228">
        <v>327</v>
      </c>
      <c r="B228" t="s">
        <v>14</v>
      </c>
      <c r="C228">
        <v>89</v>
      </c>
      <c r="D228">
        <v>87</v>
      </c>
      <c r="E228">
        <v>35</v>
      </c>
      <c r="F228">
        <f t="shared" si="17"/>
        <v>211</v>
      </c>
      <c r="G228">
        <f t="shared" si="18"/>
        <v>70.333333333333329</v>
      </c>
      <c r="H228" t="str">
        <f>IF(Table1[[#This Row],[Percentage]]&gt;=80,"A",IF(Table1[[#This Row],[Percentage]]&gt;=60,"B",IF(Table1[[#This Row],[Percentage]]&gt;=40,"C","F")))</f>
        <v>B</v>
      </c>
      <c r="I228" t="str">
        <f t="shared" si="19"/>
        <v>Pass</v>
      </c>
      <c r="J228" t="str">
        <f t="shared" si="20"/>
        <v>Above Avg</v>
      </c>
      <c r="K228">
        <f>RANK(Table1[[#This Row],[Total]],Table1[Total],0)</f>
        <v>153</v>
      </c>
      <c r="L228" t="str">
        <f t="shared" si="21"/>
        <v>No</v>
      </c>
    </row>
    <row r="229" spans="1:12" x14ac:dyDescent="0.3">
      <c r="A229">
        <v>328</v>
      </c>
      <c r="B229" t="s">
        <v>11</v>
      </c>
      <c r="C229">
        <v>99</v>
      </c>
      <c r="D229">
        <v>59</v>
      </c>
      <c r="E229">
        <v>58</v>
      </c>
      <c r="F229">
        <f t="shared" si="17"/>
        <v>216</v>
      </c>
      <c r="G229">
        <f t="shared" si="18"/>
        <v>72</v>
      </c>
      <c r="H229" t="str">
        <f>IF(Table1[[#This Row],[Percentage]]&gt;=80,"A",IF(Table1[[#This Row],[Percentage]]&gt;=60,"B",IF(Table1[[#This Row],[Percentage]]&gt;=40,"C","F")))</f>
        <v>B</v>
      </c>
      <c r="I229" t="str">
        <f t="shared" si="19"/>
        <v>Pass</v>
      </c>
      <c r="J229" t="str">
        <f t="shared" si="20"/>
        <v>Above Avg</v>
      </c>
      <c r="K229">
        <f>RANK(Table1[[#This Row],[Total]],Table1[Total],0)</f>
        <v>130</v>
      </c>
      <c r="L229" t="str">
        <f t="shared" si="21"/>
        <v>No</v>
      </c>
    </row>
    <row r="230" spans="1:12" x14ac:dyDescent="0.3">
      <c r="A230">
        <v>329</v>
      </c>
      <c r="B230" t="s">
        <v>12</v>
      </c>
      <c r="C230">
        <v>60</v>
      </c>
      <c r="D230">
        <v>78</v>
      </c>
      <c r="E230">
        <v>74</v>
      </c>
      <c r="F230">
        <f t="shared" si="17"/>
        <v>212</v>
      </c>
      <c r="G230">
        <f t="shared" si="18"/>
        <v>70.666666666666671</v>
      </c>
      <c r="H230" t="str">
        <f>IF(Table1[[#This Row],[Percentage]]&gt;=80,"A",IF(Table1[[#This Row],[Percentage]]&gt;=60,"B",IF(Table1[[#This Row],[Percentage]]&gt;=40,"C","F")))</f>
        <v>B</v>
      </c>
      <c r="I230" t="str">
        <f t="shared" si="19"/>
        <v>Pass</v>
      </c>
      <c r="J230" t="str">
        <f t="shared" si="20"/>
        <v>Above Avg</v>
      </c>
      <c r="K230">
        <f>RANK(Table1[[#This Row],[Total]],Table1[Total],0)</f>
        <v>149</v>
      </c>
      <c r="L230" t="str">
        <f t="shared" si="21"/>
        <v>No</v>
      </c>
    </row>
    <row r="231" spans="1:12" x14ac:dyDescent="0.3">
      <c r="A231">
        <v>330</v>
      </c>
      <c r="B231" t="s">
        <v>13</v>
      </c>
      <c r="C231">
        <v>32</v>
      </c>
      <c r="D231">
        <v>67</v>
      </c>
      <c r="E231">
        <v>100</v>
      </c>
      <c r="F231">
        <f t="shared" si="17"/>
        <v>199</v>
      </c>
      <c r="G231">
        <f t="shared" si="18"/>
        <v>66.333333333333329</v>
      </c>
      <c r="H231" t="str">
        <f>IF(Table1[[#This Row],[Percentage]]&gt;=80,"A",IF(Table1[[#This Row],[Percentage]]&gt;=60,"B",IF(Table1[[#This Row],[Percentage]]&gt;=40,"C","F")))</f>
        <v>B</v>
      </c>
      <c r="I231" t="str">
        <f t="shared" si="19"/>
        <v>Pass</v>
      </c>
      <c r="J231" t="str">
        <f t="shared" si="20"/>
        <v>Above Avg</v>
      </c>
      <c r="K231">
        <f>RANK(Table1[[#This Row],[Total]],Table1[Total],0)</f>
        <v>215</v>
      </c>
      <c r="L231" t="str">
        <f t="shared" si="21"/>
        <v>No</v>
      </c>
    </row>
    <row r="232" spans="1:12" x14ac:dyDescent="0.3">
      <c r="A232">
        <v>331</v>
      </c>
      <c r="B232" t="s">
        <v>10</v>
      </c>
      <c r="C232">
        <v>72</v>
      </c>
      <c r="D232">
        <v>30</v>
      </c>
      <c r="E232">
        <v>95</v>
      </c>
      <c r="F232">
        <f t="shared" si="17"/>
        <v>197</v>
      </c>
      <c r="G232">
        <f t="shared" si="18"/>
        <v>65.666666666666671</v>
      </c>
      <c r="H232" t="str">
        <f>IF(Table1[[#This Row],[Percentage]]&gt;=80,"A",IF(Table1[[#This Row],[Percentage]]&gt;=60,"B",IF(Table1[[#This Row],[Percentage]]&gt;=40,"C","F")))</f>
        <v>B</v>
      </c>
      <c r="I232" t="str">
        <f t="shared" si="19"/>
        <v>Pass</v>
      </c>
      <c r="J232" t="str">
        <f t="shared" si="20"/>
        <v>Above Avg</v>
      </c>
      <c r="K232">
        <f>RANK(Table1[[#This Row],[Total]],Table1[Total],0)</f>
        <v>224</v>
      </c>
      <c r="L232" t="str">
        <f t="shared" si="21"/>
        <v>No</v>
      </c>
    </row>
    <row r="233" spans="1:12" x14ac:dyDescent="0.3">
      <c r="A233">
        <v>332</v>
      </c>
      <c r="B233" t="s">
        <v>15</v>
      </c>
      <c r="C233">
        <v>74</v>
      </c>
      <c r="D233">
        <v>81</v>
      </c>
      <c r="E233">
        <v>91</v>
      </c>
      <c r="F233">
        <f t="shared" si="17"/>
        <v>246</v>
      </c>
      <c r="G233">
        <f t="shared" si="18"/>
        <v>82</v>
      </c>
      <c r="H233" t="str">
        <f>IF(Table1[[#This Row],[Percentage]]&gt;=80,"A",IF(Table1[[#This Row],[Percentage]]&gt;=60,"B",IF(Table1[[#This Row],[Percentage]]&gt;=40,"C","F")))</f>
        <v>A</v>
      </c>
      <c r="I233" t="str">
        <f t="shared" si="19"/>
        <v>Pass</v>
      </c>
      <c r="J233" t="str">
        <f t="shared" si="20"/>
        <v>Above Avg</v>
      </c>
      <c r="K233">
        <f>RANK(Table1[[#This Row],[Total]],Table1[Total],0)</f>
        <v>40</v>
      </c>
      <c r="L233" t="str">
        <f t="shared" si="21"/>
        <v>Yes</v>
      </c>
    </row>
    <row r="234" spans="1:12" x14ac:dyDescent="0.3">
      <c r="A234">
        <v>333</v>
      </c>
      <c r="B234" t="s">
        <v>8</v>
      </c>
      <c r="C234">
        <v>70</v>
      </c>
      <c r="D234">
        <v>32</v>
      </c>
      <c r="E234">
        <v>33</v>
      </c>
      <c r="F234">
        <f t="shared" si="17"/>
        <v>135</v>
      </c>
      <c r="G234">
        <f t="shared" si="18"/>
        <v>45</v>
      </c>
      <c r="H234" t="str">
        <f>IF(Table1[[#This Row],[Percentage]]&gt;=80,"A",IF(Table1[[#This Row],[Percentage]]&gt;=60,"B",IF(Table1[[#This Row],[Percentage]]&gt;=40,"C","F")))</f>
        <v>C</v>
      </c>
      <c r="I234" t="str">
        <f t="shared" si="19"/>
        <v>Pass</v>
      </c>
      <c r="J234" t="str">
        <f t="shared" si="20"/>
        <v>Below Avg</v>
      </c>
      <c r="K234">
        <f>RANK(Table1[[#This Row],[Total]],Table1[Total],0)</f>
        <v>477</v>
      </c>
      <c r="L234" t="str">
        <f t="shared" si="21"/>
        <v>No</v>
      </c>
    </row>
    <row r="235" spans="1:12" x14ac:dyDescent="0.3">
      <c r="A235">
        <v>334</v>
      </c>
      <c r="B235" t="s">
        <v>14</v>
      </c>
      <c r="C235">
        <v>97</v>
      </c>
      <c r="D235">
        <v>40</v>
      </c>
      <c r="E235">
        <v>68</v>
      </c>
      <c r="F235">
        <f t="shared" si="17"/>
        <v>205</v>
      </c>
      <c r="G235">
        <f t="shared" si="18"/>
        <v>68.333333333333329</v>
      </c>
      <c r="H235" t="str">
        <f>IF(Table1[[#This Row],[Percentage]]&gt;=80,"A",IF(Table1[[#This Row],[Percentage]]&gt;=60,"B",IF(Table1[[#This Row],[Percentage]]&gt;=40,"C","F")))</f>
        <v>B</v>
      </c>
      <c r="I235" t="str">
        <f t="shared" si="19"/>
        <v>Pass</v>
      </c>
      <c r="J235" t="str">
        <f t="shared" si="20"/>
        <v>Above Avg</v>
      </c>
      <c r="K235">
        <f>RANK(Table1[[#This Row],[Total]],Table1[Total],0)</f>
        <v>188</v>
      </c>
      <c r="L235" t="str">
        <f t="shared" si="21"/>
        <v>No</v>
      </c>
    </row>
    <row r="236" spans="1:12" x14ac:dyDescent="0.3">
      <c r="A236">
        <v>335</v>
      </c>
      <c r="B236" t="s">
        <v>15</v>
      </c>
      <c r="C236">
        <v>74</v>
      </c>
      <c r="D236">
        <v>46</v>
      </c>
      <c r="E236">
        <v>94</v>
      </c>
      <c r="F236">
        <f t="shared" si="17"/>
        <v>214</v>
      </c>
      <c r="G236">
        <f t="shared" si="18"/>
        <v>71.333333333333329</v>
      </c>
      <c r="H236" t="str">
        <f>IF(Table1[[#This Row],[Percentage]]&gt;=80,"A",IF(Table1[[#This Row],[Percentage]]&gt;=60,"B",IF(Table1[[#This Row],[Percentage]]&gt;=40,"C","F")))</f>
        <v>B</v>
      </c>
      <c r="I236" t="str">
        <f t="shared" si="19"/>
        <v>Pass</v>
      </c>
      <c r="J236" t="str">
        <f t="shared" si="20"/>
        <v>Above Avg</v>
      </c>
      <c r="K236">
        <f>RANK(Table1[[#This Row],[Total]],Table1[Total],0)</f>
        <v>140</v>
      </c>
      <c r="L236" t="str">
        <f t="shared" si="21"/>
        <v>No</v>
      </c>
    </row>
    <row r="237" spans="1:12" x14ac:dyDescent="0.3">
      <c r="A237">
        <v>336</v>
      </c>
      <c r="B237" t="s">
        <v>13</v>
      </c>
      <c r="C237">
        <v>49</v>
      </c>
      <c r="D237">
        <v>71</v>
      </c>
      <c r="E237">
        <v>49</v>
      </c>
      <c r="F237">
        <f t="shared" si="17"/>
        <v>169</v>
      </c>
      <c r="G237">
        <f t="shared" si="18"/>
        <v>56.333333333333336</v>
      </c>
      <c r="H237" t="str">
        <f>IF(Table1[[#This Row],[Percentage]]&gt;=80,"A",IF(Table1[[#This Row],[Percentage]]&gt;=60,"B",IF(Table1[[#This Row],[Percentage]]&gt;=40,"C","F")))</f>
        <v>C</v>
      </c>
      <c r="I237" t="str">
        <f t="shared" si="19"/>
        <v>Pass</v>
      </c>
      <c r="J237" t="str">
        <f t="shared" si="20"/>
        <v>Below Avg</v>
      </c>
      <c r="K237">
        <f>RANK(Table1[[#This Row],[Total]],Table1[Total],0)</f>
        <v>370</v>
      </c>
      <c r="L237" t="str">
        <f t="shared" si="21"/>
        <v>No</v>
      </c>
    </row>
    <row r="238" spans="1:12" x14ac:dyDescent="0.3">
      <c r="A238">
        <v>337</v>
      </c>
      <c r="B238" t="s">
        <v>12</v>
      </c>
      <c r="C238">
        <v>37</v>
      </c>
      <c r="D238">
        <v>59</v>
      </c>
      <c r="E238">
        <v>76</v>
      </c>
      <c r="F238">
        <f t="shared" si="17"/>
        <v>172</v>
      </c>
      <c r="G238">
        <f t="shared" si="18"/>
        <v>57.333333333333336</v>
      </c>
      <c r="H238" t="str">
        <f>IF(Table1[[#This Row],[Percentage]]&gt;=80,"A",IF(Table1[[#This Row],[Percentage]]&gt;=60,"B",IF(Table1[[#This Row],[Percentage]]&gt;=40,"C","F")))</f>
        <v>C</v>
      </c>
      <c r="I238" t="str">
        <f t="shared" si="19"/>
        <v>Pass</v>
      </c>
      <c r="J238" t="str">
        <f t="shared" si="20"/>
        <v>Below Avg</v>
      </c>
      <c r="K238">
        <f>RANK(Table1[[#This Row],[Total]],Table1[Total],0)</f>
        <v>351</v>
      </c>
      <c r="L238" t="str">
        <f t="shared" si="21"/>
        <v>No</v>
      </c>
    </row>
    <row r="239" spans="1:12" x14ac:dyDescent="0.3">
      <c r="A239">
        <v>338</v>
      </c>
      <c r="B239" t="s">
        <v>8</v>
      </c>
      <c r="C239">
        <v>98</v>
      </c>
      <c r="D239">
        <v>62</v>
      </c>
      <c r="E239">
        <v>62</v>
      </c>
      <c r="F239">
        <f t="shared" si="17"/>
        <v>222</v>
      </c>
      <c r="G239">
        <f t="shared" si="18"/>
        <v>74</v>
      </c>
      <c r="H239" t="str">
        <f>IF(Table1[[#This Row],[Percentage]]&gt;=80,"A",IF(Table1[[#This Row],[Percentage]]&gt;=60,"B",IF(Table1[[#This Row],[Percentage]]&gt;=40,"C","F")))</f>
        <v>B</v>
      </c>
      <c r="I239" t="str">
        <f t="shared" si="19"/>
        <v>Pass</v>
      </c>
      <c r="J239" t="str">
        <f t="shared" si="20"/>
        <v>Above Avg</v>
      </c>
      <c r="K239">
        <f>RANK(Table1[[#This Row],[Total]],Table1[Total],0)</f>
        <v>105</v>
      </c>
      <c r="L239" t="str">
        <f t="shared" si="21"/>
        <v>No</v>
      </c>
    </row>
    <row r="240" spans="1:12" x14ac:dyDescent="0.3">
      <c r="A240">
        <v>339</v>
      </c>
      <c r="B240" t="s">
        <v>15</v>
      </c>
      <c r="C240">
        <v>56</v>
      </c>
      <c r="D240">
        <v>64</v>
      </c>
      <c r="E240">
        <v>45</v>
      </c>
      <c r="F240">
        <f t="shared" si="17"/>
        <v>165</v>
      </c>
      <c r="G240">
        <f t="shared" si="18"/>
        <v>55</v>
      </c>
      <c r="H240" t="str">
        <f>IF(Table1[[#This Row],[Percentage]]&gt;=80,"A",IF(Table1[[#This Row],[Percentage]]&gt;=60,"B",IF(Table1[[#This Row],[Percentage]]&gt;=40,"C","F")))</f>
        <v>C</v>
      </c>
      <c r="I240" t="str">
        <f t="shared" si="19"/>
        <v>Pass</v>
      </c>
      <c r="J240" t="str">
        <f t="shared" si="20"/>
        <v>Below Avg</v>
      </c>
      <c r="K240">
        <f>RANK(Table1[[#This Row],[Total]],Table1[Total],0)</f>
        <v>389</v>
      </c>
      <c r="L240" t="str">
        <f t="shared" si="21"/>
        <v>No</v>
      </c>
    </row>
    <row r="241" spans="1:12" x14ac:dyDescent="0.3">
      <c r="A241">
        <v>340</v>
      </c>
      <c r="B241" t="s">
        <v>13</v>
      </c>
      <c r="C241">
        <v>45</v>
      </c>
      <c r="D241">
        <v>30</v>
      </c>
      <c r="E241">
        <v>34</v>
      </c>
      <c r="F241">
        <f t="shared" si="17"/>
        <v>109</v>
      </c>
      <c r="G241">
        <f t="shared" si="18"/>
        <v>36.333333333333336</v>
      </c>
      <c r="H241" t="str">
        <f>IF(Table1[[#This Row],[Percentage]]&gt;=80,"A",IF(Table1[[#This Row],[Percentage]]&gt;=60,"B",IF(Table1[[#This Row],[Percentage]]&gt;=40,"C","F")))</f>
        <v>F</v>
      </c>
      <c r="I241" t="str">
        <f t="shared" si="19"/>
        <v>Fail</v>
      </c>
      <c r="J241" t="str">
        <f t="shared" si="20"/>
        <v>Below Avg</v>
      </c>
      <c r="K241">
        <f>RANK(Table1[[#This Row],[Total]],Table1[Total],0)</f>
        <v>498</v>
      </c>
      <c r="L241" t="str">
        <f t="shared" si="21"/>
        <v>No</v>
      </c>
    </row>
    <row r="242" spans="1:12" x14ac:dyDescent="0.3">
      <c r="A242">
        <v>341</v>
      </c>
      <c r="B242" t="s">
        <v>12</v>
      </c>
      <c r="C242">
        <v>44</v>
      </c>
      <c r="D242">
        <v>45</v>
      </c>
      <c r="E242">
        <v>90</v>
      </c>
      <c r="F242">
        <f t="shared" si="17"/>
        <v>179</v>
      </c>
      <c r="G242">
        <f t="shared" si="18"/>
        <v>59.666666666666664</v>
      </c>
      <c r="H242" t="str">
        <f>IF(Table1[[#This Row],[Percentage]]&gt;=80,"A",IF(Table1[[#This Row],[Percentage]]&gt;=60,"B",IF(Table1[[#This Row],[Percentage]]&gt;=40,"C","F")))</f>
        <v>C</v>
      </c>
      <c r="I242" t="str">
        <f t="shared" si="19"/>
        <v>Pass</v>
      </c>
      <c r="J242" t="str">
        <f t="shared" si="20"/>
        <v>Below Avg</v>
      </c>
      <c r="K242">
        <f>RANK(Table1[[#This Row],[Total]],Table1[Total],0)</f>
        <v>322</v>
      </c>
      <c r="L242" t="str">
        <f t="shared" si="21"/>
        <v>No</v>
      </c>
    </row>
    <row r="243" spans="1:12" x14ac:dyDescent="0.3">
      <c r="A243">
        <v>342</v>
      </c>
      <c r="B243" t="s">
        <v>15</v>
      </c>
      <c r="C243">
        <v>61</v>
      </c>
      <c r="D243">
        <v>96</v>
      </c>
      <c r="E243">
        <v>38</v>
      </c>
      <c r="F243">
        <f t="shared" si="17"/>
        <v>195</v>
      </c>
      <c r="G243">
        <f t="shared" si="18"/>
        <v>65</v>
      </c>
      <c r="H243" t="str">
        <f>IF(Table1[[#This Row],[Percentage]]&gt;=80,"A",IF(Table1[[#This Row],[Percentage]]&gt;=60,"B",IF(Table1[[#This Row],[Percentage]]&gt;=40,"C","F")))</f>
        <v>B</v>
      </c>
      <c r="I243" t="str">
        <f t="shared" si="19"/>
        <v>Pass</v>
      </c>
      <c r="J243" t="str">
        <f t="shared" si="20"/>
        <v>Above Avg</v>
      </c>
      <c r="K243">
        <f>RANK(Table1[[#This Row],[Total]],Table1[Total],0)</f>
        <v>243</v>
      </c>
      <c r="L243" t="str">
        <f t="shared" si="21"/>
        <v>No</v>
      </c>
    </row>
    <row r="244" spans="1:12" x14ac:dyDescent="0.3">
      <c r="A244">
        <v>343</v>
      </c>
      <c r="B244" t="s">
        <v>12</v>
      </c>
      <c r="C244">
        <v>53</v>
      </c>
      <c r="D244">
        <v>30</v>
      </c>
      <c r="E244">
        <v>84</v>
      </c>
      <c r="F244">
        <f t="shared" si="17"/>
        <v>167</v>
      </c>
      <c r="G244">
        <f t="shared" si="18"/>
        <v>55.666666666666664</v>
      </c>
      <c r="H244" t="str">
        <f>IF(Table1[[#This Row],[Percentage]]&gt;=80,"A",IF(Table1[[#This Row],[Percentage]]&gt;=60,"B",IF(Table1[[#This Row],[Percentage]]&gt;=40,"C","F")))</f>
        <v>C</v>
      </c>
      <c r="I244" t="str">
        <f t="shared" si="19"/>
        <v>Pass</v>
      </c>
      <c r="J244" t="str">
        <f t="shared" si="20"/>
        <v>Below Avg</v>
      </c>
      <c r="K244">
        <f>RANK(Table1[[#This Row],[Total]],Table1[Total],0)</f>
        <v>378</v>
      </c>
      <c r="L244" t="str">
        <f t="shared" si="21"/>
        <v>No</v>
      </c>
    </row>
    <row r="245" spans="1:12" x14ac:dyDescent="0.3">
      <c r="A245">
        <v>344</v>
      </c>
      <c r="B245" t="s">
        <v>10</v>
      </c>
      <c r="C245">
        <v>95</v>
      </c>
      <c r="D245">
        <v>50</v>
      </c>
      <c r="E245">
        <v>70</v>
      </c>
      <c r="F245">
        <f t="shared" si="17"/>
        <v>215</v>
      </c>
      <c r="G245">
        <f t="shared" si="18"/>
        <v>71.666666666666671</v>
      </c>
      <c r="H245" t="str">
        <f>IF(Table1[[#This Row],[Percentage]]&gt;=80,"A",IF(Table1[[#This Row],[Percentage]]&gt;=60,"B",IF(Table1[[#This Row],[Percentage]]&gt;=40,"C","F")))</f>
        <v>B</v>
      </c>
      <c r="I245" t="str">
        <f t="shared" si="19"/>
        <v>Pass</v>
      </c>
      <c r="J245" t="str">
        <f t="shared" si="20"/>
        <v>Above Avg</v>
      </c>
      <c r="K245">
        <f>RANK(Table1[[#This Row],[Total]],Table1[Total],0)</f>
        <v>135</v>
      </c>
      <c r="L245" t="str">
        <f t="shared" si="21"/>
        <v>No</v>
      </c>
    </row>
    <row r="246" spans="1:12" x14ac:dyDescent="0.3">
      <c r="A246">
        <v>345</v>
      </c>
      <c r="B246" t="s">
        <v>12</v>
      </c>
      <c r="C246">
        <v>53</v>
      </c>
      <c r="D246">
        <v>67</v>
      </c>
      <c r="E246">
        <v>97</v>
      </c>
      <c r="F246">
        <f t="shared" si="17"/>
        <v>217</v>
      </c>
      <c r="G246">
        <f t="shared" si="18"/>
        <v>72.333333333333329</v>
      </c>
      <c r="H246" t="str">
        <f>IF(Table1[[#This Row],[Percentage]]&gt;=80,"A",IF(Table1[[#This Row],[Percentage]]&gt;=60,"B",IF(Table1[[#This Row],[Percentage]]&gt;=40,"C","F")))</f>
        <v>B</v>
      </c>
      <c r="I246" t="str">
        <f t="shared" si="19"/>
        <v>Pass</v>
      </c>
      <c r="J246" t="str">
        <f t="shared" si="20"/>
        <v>Above Avg</v>
      </c>
      <c r="K246">
        <f>RANK(Table1[[#This Row],[Total]],Table1[Total],0)</f>
        <v>125</v>
      </c>
      <c r="L246" t="str">
        <f t="shared" si="21"/>
        <v>No</v>
      </c>
    </row>
    <row r="247" spans="1:12" x14ac:dyDescent="0.3">
      <c r="A247">
        <v>346</v>
      </c>
      <c r="B247" t="s">
        <v>8</v>
      </c>
      <c r="C247">
        <v>42</v>
      </c>
      <c r="D247">
        <v>57</v>
      </c>
      <c r="E247">
        <v>93</v>
      </c>
      <c r="F247">
        <f t="shared" si="17"/>
        <v>192</v>
      </c>
      <c r="G247">
        <f t="shared" si="18"/>
        <v>64</v>
      </c>
      <c r="H247" t="str">
        <f>IF(Table1[[#This Row],[Percentage]]&gt;=80,"A",IF(Table1[[#This Row],[Percentage]]&gt;=60,"B",IF(Table1[[#This Row],[Percentage]]&gt;=40,"C","F")))</f>
        <v>B</v>
      </c>
      <c r="I247" t="str">
        <f t="shared" si="19"/>
        <v>Pass</v>
      </c>
      <c r="J247" t="str">
        <f t="shared" si="20"/>
        <v>Below Avg</v>
      </c>
      <c r="K247">
        <f>RANK(Table1[[#This Row],[Total]],Table1[Total],0)</f>
        <v>259</v>
      </c>
      <c r="L247" t="str">
        <f t="shared" si="21"/>
        <v>No</v>
      </c>
    </row>
    <row r="248" spans="1:12" x14ac:dyDescent="0.3">
      <c r="A248">
        <v>347</v>
      </c>
      <c r="B248" t="s">
        <v>11</v>
      </c>
      <c r="C248">
        <v>86</v>
      </c>
      <c r="D248">
        <v>32</v>
      </c>
      <c r="E248">
        <v>49</v>
      </c>
      <c r="F248">
        <f t="shared" si="17"/>
        <v>167</v>
      </c>
      <c r="G248">
        <f t="shared" si="18"/>
        <v>55.666666666666664</v>
      </c>
      <c r="H248" t="str">
        <f>IF(Table1[[#This Row],[Percentage]]&gt;=80,"A",IF(Table1[[#This Row],[Percentage]]&gt;=60,"B",IF(Table1[[#This Row],[Percentage]]&gt;=40,"C","F")))</f>
        <v>C</v>
      </c>
      <c r="I248" t="str">
        <f t="shared" si="19"/>
        <v>Pass</v>
      </c>
      <c r="J248" t="str">
        <f t="shared" si="20"/>
        <v>Below Avg</v>
      </c>
      <c r="K248">
        <f>RANK(Table1[[#This Row],[Total]],Table1[Total],0)</f>
        <v>378</v>
      </c>
      <c r="L248" t="str">
        <f t="shared" si="21"/>
        <v>No</v>
      </c>
    </row>
    <row r="249" spans="1:12" x14ac:dyDescent="0.3">
      <c r="A249">
        <v>348</v>
      </c>
      <c r="B249" t="s">
        <v>8</v>
      </c>
      <c r="C249">
        <v>66</v>
      </c>
      <c r="D249">
        <v>31</v>
      </c>
      <c r="E249">
        <v>62</v>
      </c>
      <c r="F249">
        <f t="shared" si="17"/>
        <v>159</v>
      </c>
      <c r="G249">
        <f t="shared" si="18"/>
        <v>53</v>
      </c>
      <c r="H249" t="str">
        <f>IF(Table1[[#This Row],[Percentage]]&gt;=80,"A",IF(Table1[[#This Row],[Percentage]]&gt;=60,"B",IF(Table1[[#This Row],[Percentage]]&gt;=40,"C","F")))</f>
        <v>C</v>
      </c>
      <c r="I249" t="str">
        <f t="shared" si="19"/>
        <v>Pass</v>
      </c>
      <c r="J249" t="str">
        <f t="shared" si="20"/>
        <v>Below Avg</v>
      </c>
      <c r="K249">
        <f>RANK(Table1[[#This Row],[Total]],Table1[Total],0)</f>
        <v>407</v>
      </c>
      <c r="L249" t="str">
        <f t="shared" si="21"/>
        <v>No</v>
      </c>
    </row>
    <row r="250" spans="1:12" x14ac:dyDescent="0.3">
      <c r="A250">
        <v>349</v>
      </c>
      <c r="B250" t="s">
        <v>11</v>
      </c>
      <c r="C250">
        <v>98</v>
      </c>
      <c r="D250">
        <v>36</v>
      </c>
      <c r="E250">
        <v>74</v>
      </c>
      <c r="F250">
        <f t="shared" si="17"/>
        <v>208</v>
      </c>
      <c r="G250">
        <f t="shared" si="18"/>
        <v>69.333333333333329</v>
      </c>
      <c r="H250" t="str">
        <f>IF(Table1[[#This Row],[Percentage]]&gt;=80,"A",IF(Table1[[#This Row],[Percentage]]&gt;=60,"B",IF(Table1[[#This Row],[Percentage]]&gt;=40,"C","F")))</f>
        <v>B</v>
      </c>
      <c r="I250" t="str">
        <f t="shared" si="19"/>
        <v>Pass</v>
      </c>
      <c r="J250" t="str">
        <f t="shared" si="20"/>
        <v>Above Avg</v>
      </c>
      <c r="K250">
        <f>RANK(Table1[[#This Row],[Total]],Table1[Total],0)</f>
        <v>172</v>
      </c>
      <c r="L250" t="str">
        <f t="shared" si="21"/>
        <v>No</v>
      </c>
    </row>
    <row r="251" spans="1:12" x14ac:dyDescent="0.3">
      <c r="A251">
        <v>350</v>
      </c>
      <c r="B251" t="s">
        <v>15</v>
      </c>
      <c r="C251">
        <v>63</v>
      </c>
      <c r="D251">
        <v>70</v>
      </c>
      <c r="E251">
        <v>55</v>
      </c>
      <c r="F251">
        <f t="shared" si="17"/>
        <v>188</v>
      </c>
      <c r="G251">
        <f t="shared" si="18"/>
        <v>62.666666666666664</v>
      </c>
      <c r="H251" t="str">
        <f>IF(Table1[[#This Row],[Percentage]]&gt;=80,"A",IF(Table1[[#This Row],[Percentage]]&gt;=60,"B",IF(Table1[[#This Row],[Percentage]]&gt;=40,"C","F")))</f>
        <v>B</v>
      </c>
      <c r="I251" t="str">
        <f t="shared" si="19"/>
        <v>Pass</v>
      </c>
      <c r="J251" t="str">
        <f t="shared" si="20"/>
        <v>Below Avg</v>
      </c>
      <c r="K251">
        <f>RANK(Table1[[#This Row],[Total]],Table1[Total],0)</f>
        <v>277</v>
      </c>
      <c r="L251" t="str">
        <f t="shared" si="21"/>
        <v>No</v>
      </c>
    </row>
    <row r="252" spans="1:12" x14ac:dyDescent="0.3">
      <c r="A252">
        <v>351</v>
      </c>
      <c r="B252" t="s">
        <v>14</v>
      </c>
      <c r="C252">
        <v>30</v>
      </c>
      <c r="D252">
        <v>68</v>
      </c>
      <c r="E252">
        <v>51</v>
      </c>
      <c r="F252">
        <f t="shared" si="17"/>
        <v>149</v>
      </c>
      <c r="G252">
        <f t="shared" si="18"/>
        <v>49.666666666666664</v>
      </c>
      <c r="H252" t="str">
        <f>IF(Table1[[#This Row],[Percentage]]&gt;=80,"A",IF(Table1[[#This Row],[Percentage]]&gt;=60,"B",IF(Table1[[#This Row],[Percentage]]&gt;=40,"C","F")))</f>
        <v>C</v>
      </c>
      <c r="I252" t="str">
        <f t="shared" si="19"/>
        <v>Pass</v>
      </c>
      <c r="J252" t="str">
        <f t="shared" si="20"/>
        <v>Below Avg</v>
      </c>
      <c r="K252">
        <f>RANK(Table1[[#This Row],[Total]],Table1[Total],0)</f>
        <v>446</v>
      </c>
      <c r="L252" t="str">
        <f t="shared" si="21"/>
        <v>No</v>
      </c>
    </row>
    <row r="253" spans="1:12" x14ac:dyDescent="0.3">
      <c r="A253">
        <v>352</v>
      </c>
      <c r="B253" t="s">
        <v>12</v>
      </c>
      <c r="C253">
        <v>55</v>
      </c>
      <c r="D253">
        <v>64</v>
      </c>
      <c r="E253">
        <v>47</v>
      </c>
      <c r="F253">
        <f t="shared" si="17"/>
        <v>166</v>
      </c>
      <c r="G253">
        <f t="shared" si="18"/>
        <v>55.333333333333336</v>
      </c>
      <c r="H253" t="str">
        <f>IF(Table1[[#This Row],[Percentage]]&gt;=80,"A",IF(Table1[[#This Row],[Percentage]]&gt;=60,"B",IF(Table1[[#This Row],[Percentage]]&gt;=40,"C","F")))</f>
        <v>C</v>
      </c>
      <c r="I253" t="str">
        <f t="shared" si="19"/>
        <v>Pass</v>
      </c>
      <c r="J253" t="str">
        <f t="shared" si="20"/>
        <v>Below Avg</v>
      </c>
      <c r="K253">
        <f>RANK(Table1[[#This Row],[Total]],Table1[Total],0)</f>
        <v>384</v>
      </c>
      <c r="L253" t="str">
        <f t="shared" si="21"/>
        <v>No</v>
      </c>
    </row>
    <row r="254" spans="1:12" x14ac:dyDescent="0.3">
      <c r="A254">
        <v>353</v>
      </c>
      <c r="B254" t="s">
        <v>14</v>
      </c>
      <c r="C254">
        <v>58</v>
      </c>
      <c r="D254">
        <v>100</v>
      </c>
      <c r="E254">
        <v>33</v>
      </c>
      <c r="F254">
        <f t="shared" si="17"/>
        <v>191</v>
      </c>
      <c r="G254">
        <f t="shared" si="18"/>
        <v>63.666666666666664</v>
      </c>
      <c r="H254" t="str">
        <f>IF(Table1[[#This Row],[Percentage]]&gt;=80,"A",IF(Table1[[#This Row],[Percentage]]&gt;=60,"B",IF(Table1[[#This Row],[Percentage]]&gt;=40,"C","F")))</f>
        <v>B</v>
      </c>
      <c r="I254" t="str">
        <f t="shared" si="19"/>
        <v>Pass</v>
      </c>
      <c r="J254" t="str">
        <f t="shared" si="20"/>
        <v>Below Avg</v>
      </c>
      <c r="K254">
        <f>RANK(Table1[[#This Row],[Total]],Table1[Total],0)</f>
        <v>265</v>
      </c>
      <c r="L254" t="str">
        <f t="shared" si="21"/>
        <v>No</v>
      </c>
    </row>
    <row r="255" spans="1:12" x14ac:dyDescent="0.3">
      <c r="A255">
        <v>354</v>
      </c>
      <c r="B255" t="s">
        <v>11</v>
      </c>
      <c r="C255">
        <v>42</v>
      </c>
      <c r="D255">
        <v>90</v>
      </c>
      <c r="E255">
        <v>43</v>
      </c>
      <c r="F255">
        <f t="shared" si="17"/>
        <v>175</v>
      </c>
      <c r="G255">
        <f t="shared" si="18"/>
        <v>58.333333333333336</v>
      </c>
      <c r="H255" t="str">
        <f>IF(Table1[[#This Row],[Percentage]]&gt;=80,"A",IF(Table1[[#This Row],[Percentage]]&gt;=60,"B",IF(Table1[[#This Row],[Percentage]]&gt;=40,"C","F")))</f>
        <v>C</v>
      </c>
      <c r="I255" t="str">
        <f t="shared" si="19"/>
        <v>Pass</v>
      </c>
      <c r="J255" t="str">
        <f t="shared" si="20"/>
        <v>Below Avg</v>
      </c>
      <c r="K255">
        <f>RANK(Table1[[#This Row],[Total]],Table1[Total],0)</f>
        <v>336</v>
      </c>
      <c r="L255" t="str">
        <f t="shared" si="21"/>
        <v>No</v>
      </c>
    </row>
    <row r="256" spans="1:12" x14ac:dyDescent="0.3">
      <c r="A256">
        <v>355</v>
      </c>
      <c r="B256" t="s">
        <v>14</v>
      </c>
      <c r="C256">
        <v>63</v>
      </c>
      <c r="D256">
        <v>92</v>
      </c>
      <c r="E256">
        <v>93</v>
      </c>
      <c r="F256">
        <f t="shared" si="17"/>
        <v>248</v>
      </c>
      <c r="G256">
        <f t="shared" si="18"/>
        <v>82.666666666666671</v>
      </c>
      <c r="H256" t="str">
        <f>IF(Table1[[#This Row],[Percentage]]&gt;=80,"A",IF(Table1[[#This Row],[Percentage]]&gt;=60,"B",IF(Table1[[#This Row],[Percentage]]&gt;=40,"C","F")))</f>
        <v>A</v>
      </c>
      <c r="I256" t="str">
        <f t="shared" si="19"/>
        <v>Pass</v>
      </c>
      <c r="J256" t="str">
        <f t="shared" si="20"/>
        <v>Above Avg</v>
      </c>
      <c r="K256">
        <f>RANK(Table1[[#This Row],[Total]],Table1[Total],0)</f>
        <v>38</v>
      </c>
      <c r="L256" t="str">
        <f t="shared" si="21"/>
        <v>Yes</v>
      </c>
    </row>
    <row r="257" spans="1:12" x14ac:dyDescent="0.3">
      <c r="A257">
        <v>356</v>
      </c>
      <c r="B257" t="s">
        <v>14</v>
      </c>
      <c r="C257">
        <v>80</v>
      </c>
      <c r="D257">
        <v>44</v>
      </c>
      <c r="E257">
        <v>36</v>
      </c>
      <c r="F257">
        <f t="shared" si="17"/>
        <v>160</v>
      </c>
      <c r="G257">
        <f t="shared" si="18"/>
        <v>53.333333333333336</v>
      </c>
      <c r="H257" t="str">
        <f>IF(Table1[[#This Row],[Percentage]]&gt;=80,"A",IF(Table1[[#This Row],[Percentage]]&gt;=60,"B",IF(Table1[[#This Row],[Percentage]]&gt;=40,"C","F")))</f>
        <v>C</v>
      </c>
      <c r="I257" t="str">
        <f t="shared" si="19"/>
        <v>Pass</v>
      </c>
      <c r="J257" t="str">
        <f t="shared" si="20"/>
        <v>Below Avg</v>
      </c>
      <c r="K257">
        <f>RANK(Table1[[#This Row],[Total]],Table1[Total],0)</f>
        <v>405</v>
      </c>
      <c r="L257" t="str">
        <f t="shared" si="21"/>
        <v>No</v>
      </c>
    </row>
    <row r="258" spans="1:12" x14ac:dyDescent="0.3">
      <c r="A258">
        <v>357</v>
      </c>
      <c r="B258" t="s">
        <v>11</v>
      </c>
      <c r="C258">
        <v>50</v>
      </c>
      <c r="D258">
        <v>67</v>
      </c>
      <c r="E258">
        <v>38</v>
      </c>
      <c r="F258">
        <f t="shared" ref="F258:F321" si="22">SUM(C258:E258)</f>
        <v>155</v>
      </c>
      <c r="G258">
        <f t="shared" ref="G258:G321" si="23">F258/3</f>
        <v>51.666666666666664</v>
      </c>
      <c r="H258" t="str">
        <f>IF(Table1[[#This Row],[Percentage]]&gt;=80,"A",IF(Table1[[#This Row],[Percentage]]&gt;=60,"B",IF(Table1[[#This Row],[Percentage]]&gt;=40,"C","F")))</f>
        <v>C</v>
      </c>
      <c r="I258" t="str">
        <f t="shared" si="19"/>
        <v>Pass</v>
      </c>
      <c r="J258" t="str">
        <f t="shared" si="20"/>
        <v>Below Avg</v>
      </c>
      <c r="K258">
        <f>RANK(Table1[[#This Row],[Total]],Table1[Total],0)</f>
        <v>426</v>
      </c>
      <c r="L258" t="str">
        <f t="shared" si="21"/>
        <v>No</v>
      </c>
    </row>
    <row r="259" spans="1:12" x14ac:dyDescent="0.3">
      <c r="A259">
        <v>358</v>
      </c>
      <c r="B259" t="s">
        <v>10</v>
      </c>
      <c r="C259">
        <v>86</v>
      </c>
      <c r="D259">
        <v>100</v>
      </c>
      <c r="E259">
        <v>66</v>
      </c>
      <c r="F259">
        <f t="shared" si="22"/>
        <v>252</v>
      </c>
      <c r="G259">
        <f t="shared" si="23"/>
        <v>84</v>
      </c>
      <c r="H259" t="str">
        <f>IF(Table1[[#This Row],[Percentage]]&gt;=80,"A",IF(Table1[[#This Row],[Percentage]]&gt;=60,"B",IF(Table1[[#This Row],[Percentage]]&gt;=40,"C","F")))</f>
        <v>A</v>
      </c>
      <c r="I259" t="str">
        <f t="shared" ref="I259:I322" si="24">IF(AVERAGE(C259:E259)&gt;=40,"Pass","Fail")</f>
        <v>Pass</v>
      </c>
      <c r="J259" t="str">
        <f t="shared" ref="J259:J322" si="25">IF(G259&gt;AVERAGE($G$2:$G$501),"Above Avg","Below Avg")</f>
        <v>Above Avg</v>
      </c>
      <c r="K259">
        <f>RANK(Table1[[#This Row],[Total]],Table1[Total],0)</f>
        <v>27</v>
      </c>
      <c r="L259" t="str">
        <f t="shared" ref="L259:L322" si="26">IF(G259&gt;=75,"Yes","No")</f>
        <v>Yes</v>
      </c>
    </row>
    <row r="260" spans="1:12" x14ac:dyDescent="0.3">
      <c r="A260">
        <v>359</v>
      </c>
      <c r="B260" t="s">
        <v>15</v>
      </c>
      <c r="C260">
        <v>68</v>
      </c>
      <c r="D260">
        <v>47</v>
      </c>
      <c r="E260">
        <v>85</v>
      </c>
      <c r="F260">
        <f t="shared" si="22"/>
        <v>200</v>
      </c>
      <c r="G260">
        <f t="shared" si="23"/>
        <v>66.666666666666671</v>
      </c>
      <c r="H260" t="str">
        <f>IF(Table1[[#This Row],[Percentage]]&gt;=80,"A",IF(Table1[[#This Row],[Percentage]]&gt;=60,"B",IF(Table1[[#This Row],[Percentage]]&gt;=40,"C","F")))</f>
        <v>B</v>
      </c>
      <c r="I260" t="str">
        <f t="shared" si="24"/>
        <v>Pass</v>
      </c>
      <c r="J260" t="str">
        <f t="shared" si="25"/>
        <v>Above Avg</v>
      </c>
      <c r="K260">
        <f>RANK(Table1[[#This Row],[Total]],Table1[Total],0)</f>
        <v>210</v>
      </c>
      <c r="L260" t="str">
        <f t="shared" si="26"/>
        <v>No</v>
      </c>
    </row>
    <row r="261" spans="1:12" x14ac:dyDescent="0.3">
      <c r="A261">
        <v>360</v>
      </c>
      <c r="B261" t="s">
        <v>11</v>
      </c>
      <c r="C261">
        <v>72</v>
      </c>
      <c r="D261">
        <v>78</v>
      </c>
      <c r="E261">
        <v>86</v>
      </c>
      <c r="F261">
        <f t="shared" si="22"/>
        <v>236</v>
      </c>
      <c r="G261">
        <f t="shared" si="23"/>
        <v>78.666666666666671</v>
      </c>
      <c r="H261" t="str">
        <f>IF(Table1[[#This Row],[Percentage]]&gt;=80,"A",IF(Table1[[#This Row],[Percentage]]&gt;=60,"B",IF(Table1[[#This Row],[Percentage]]&gt;=40,"C","F")))</f>
        <v>B</v>
      </c>
      <c r="I261" t="str">
        <f t="shared" si="24"/>
        <v>Pass</v>
      </c>
      <c r="J261" t="str">
        <f t="shared" si="25"/>
        <v>Above Avg</v>
      </c>
      <c r="K261">
        <f>RANK(Table1[[#This Row],[Total]],Table1[Total],0)</f>
        <v>59</v>
      </c>
      <c r="L261" t="str">
        <f t="shared" si="26"/>
        <v>Yes</v>
      </c>
    </row>
    <row r="262" spans="1:12" x14ac:dyDescent="0.3">
      <c r="A262">
        <v>361</v>
      </c>
      <c r="B262" t="s">
        <v>15</v>
      </c>
      <c r="C262">
        <v>59</v>
      </c>
      <c r="D262">
        <v>47</v>
      </c>
      <c r="E262">
        <v>59</v>
      </c>
      <c r="F262">
        <f t="shared" si="22"/>
        <v>165</v>
      </c>
      <c r="G262">
        <f t="shared" si="23"/>
        <v>55</v>
      </c>
      <c r="H262" t="str">
        <f>IF(Table1[[#This Row],[Percentage]]&gt;=80,"A",IF(Table1[[#This Row],[Percentage]]&gt;=60,"B",IF(Table1[[#This Row],[Percentage]]&gt;=40,"C","F")))</f>
        <v>C</v>
      </c>
      <c r="I262" t="str">
        <f t="shared" si="24"/>
        <v>Pass</v>
      </c>
      <c r="J262" t="str">
        <f t="shared" si="25"/>
        <v>Below Avg</v>
      </c>
      <c r="K262">
        <f>RANK(Table1[[#This Row],[Total]],Table1[Total],0)</f>
        <v>389</v>
      </c>
      <c r="L262" t="str">
        <f t="shared" si="26"/>
        <v>No</v>
      </c>
    </row>
    <row r="263" spans="1:12" x14ac:dyDescent="0.3">
      <c r="A263">
        <v>362</v>
      </c>
      <c r="B263" t="s">
        <v>8</v>
      </c>
      <c r="C263">
        <v>59</v>
      </c>
      <c r="D263">
        <v>91</v>
      </c>
      <c r="E263">
        <v>69</v>
      </c>
      <c r="F263">
        <f t="shared" si="22"/>
        <v>219</v>
      </c>
      <c r="G263">
        <f t="shared" si="23"/>
        <v>73</v>
      </c>
      <c r="H263" t="str">
        <f>IF(Table1[[#This Row],[Percentage]]&gt;=80,"A",IF(Table1[[#This Row],[Percentage]]&gt;=60,"B",IF(Table1[[#This Row],[Percentage]]&gt;=40,"C","F")))</f>
        <v>B</v>
      </c>
      <c r="I263" t="str">
        <f t="shared" si="24"/>
        <v>Pass</v>
      </c>
      <c r="J263" t="str">
        <f t="shared" si="25"/>
        <v>Above Avg</v>
      </c>
      <c r="K263">
        <f>RANK(Table1[[#This Row],[Total]],Table1[Total],0)</f>
        <v>115</v>
      </c>
      <c r="L263" t="str">
        <f t="shared" si="26"/>
        <v>No</v>
      </c>
    </row>
    <row r="264" spans="1:12" x14ac:dyDescent="0.3">
      <c r="A264">
        <v>363</v>
      </c>
      <c r="B264" t="s">
        <v>11</v>
      </c>
      <c r="C264">
        <v>83</v>
      </c>
      <c r="D264">
        <v>84</v>
      </c>
      <c r="E264">
        <v>97</v>
      </c>
      <c r="F264">
        <f t="shared" si="22"/>
        <v>264</v>
      </c>
      <c r="G264">
        <f t="shared" si="23"/>
        <v>88</v>
      </c>
      <c r="H264" t="str">
        <f>IF(Table1[[#This Row],[Percentage]]&gt;=80,"A",IF(Table1[[#This Row],[Percentage]]&gt;=60,"B",IF(Table1[[#This Row],[Percentage]]&gt;=40,"C","F")))</f>
        <v>A</v>
      </c>
      <c r="I264" t="str">
        <f t="shared" si="24"/>
        <v>Pass</v>
      </c>
      <c r="J264" t="str">
        <f t="shared" si="25"/>
        <v>Above Avg</v>
      </c>
      <c r="K264">
        <f>RANK(Table1[[#This Row],[Total]],Table1[Total],0)</f>
        <v>10</v>
      </c>
      <c r="L264" t="str">
        <f t="shared" si="26"/>
        <v>Yes</v>
      </c>
    </row>
    <row r="265" spans="1:12" x14ac:dyDescent="0.3">
      <c r="A265">
        <v>364</v>
      </c>
      <c r="B265" t="s">
        <v>11</v>
      </c>
      <c r="C265">
        <v>41</v>
      </c>
      <c r="D265">
        <v>50</v>
      </c>
      <c r="E265">
        <v>52</v>
      </c>
      <c r="F265">
        <f t="shared" si="22"/>
        <v>143</v>
      </c>
      <c r="G265">
        <f t="shared" si="23"/>
        <v>47.666666666666664</v>
      </c>
      <c r="H265" t="str">
        <f>IF(Table1[[#This Row],[Percentage]]&gt;=80,"A",IF(Table1[[#This Row],[Percentage]]&gt;=60,"B",IF(Table1[[#This Row],[Percentage]]&gt;=40,"C","F")))</f>
        <v>C</v>
      </c>
      <c r="I265" t="str">
        <f t="shared" si="24"/>
        <v>Pass</v>
      </c>
      <c r="J265" t="str">
        <f t="shared" si="25"/>
        <v>Below Avg</v>
      </c>
      <c r="K265">
        <f>RANK(Table1[[#This Row],[Total]],Table1[Total],0)</f>
        <v>458</v>
      </c>
      <c r="L265" t="str">
        <f t="shared" si="26"/>
        <v>No</v>
      </c>
    </row>
    <row r="266" spans="1:12" x14ac:dyDescent="0.3">
      <c r="A266">
        <v>365</v>
      </c>
      <c r="B266" t="s">
        <v>10</v>
      </c>
      <c r="C266">
        <v>72</v>
      </c>
      <c r="D266">
        <v>38</v>
      </c>
      <c r="E266">
        <v>48</v>
      </c>
      <c r="F266">
        <f t="shared" si="22"/>
        <v>158</v>
      </c>
      <c r="G266">
        <f t="shared" si="23"/>
        <v>52.666666666666664</v>
      </c>
      <c r="H266" t="str">
        <f>IF(Table1[[#This Row],[Percentage]]&gt;=80,"A",IF(Table1[[#This Row],[Percentage]]&gt;=60,"B",IF(Table1[[#This Row],[Percentage]]&gt;=40,"C","F")))</f>
        <v>C</v>
      </c>
      <c r="I266" t="str">
        <f t="shared" si="24"/>
        <v>Pass</v>
      </c>
      <c r="J266" t="str">
        <f t="shared" si="25"/>
        <v>Below Avg</v>
      </c>
      <c r="K266">
        <f>RANK(Table1[[#This Row],[Total]],Table1[Total],0)</f>
        <v>411</v>
      </c>
      <c r="L266" t="str">
        <f t="shared" si="26"/>
        <v>No</v>
      </c>
    </row>
    <row r="267" spans="1:12" x14ac:dyDescent="0.3">
      <c r="A267">
        <v>366</v>
      </c>
      <c r="B267" t="s">
        <v>8</v>
      </c>
      <c r="C267">
        <v>82</v>
      </c>
      <c r="D267">
        <v>92</v>
      </c>
      <c r="E267">
        <v>58</v>
      </c>
      <c r="F267">
        <f t="shared" si="22"/>
        <v>232</v>
      </c>
      <c r="G267">
        <f t="shared" si="23"/>
        <v>77.333333333333329</v>
      </c>
      <c r="H267" t="str">
        <f>IF(Table1[[#This Row],[Percentage]]&gt;=80,"A",IF(Table1[[#This Row],[Percentage]]&gt;=60,"B",IF(Table1[[#This Row],[Percentage]]&gt;=40,"C","F")))</f>
        <v>B</v>
      </c>
      <c r="I267" t="str">
        <f t="shared" si="24"/>
        <v>Pass</v>
      </c>
      <c r="J267" t="str">
        <f t="shared" si="25"/>
        <v>Above Avg</v>
      </c>
      <c r="K267">
        <f>RANK(Table1[[#This Row],[Total]],Table1[Total],0)</f>
        <v>70</v>
      </c>
      <c r="L267" t="str">
        <f t="shared" si="26"/>
        <v>Yes</v>
      </c>
    </row>
    <row r="268" spans="1:12" x14ac:dyDescent="0.3">
      <c r="A268">
        <v>367</v>
      </c>
      <c r="B268" t="s">
        <v>11</v>
      </c>
      <c r="C268">
        <v>100</v>
      </c>
      <c r="D268">
        <v>37</v>
      </c>
      <c r="E268">
        <v>40</v>
      </c>
      <c r="F268">
        <f t="shared" si="22"/>
        <v>177</v>
      </c>
      <c r="G268">
        <f t="shared" si="23"/>
        <v>59</v>
      </c>
      <c r="H268" t="str">
        <f>IF(Table1[[#This Row],[Percentage]]&gt;=80,"A",IF(Table1[[#This Row],[Percentage]]&gt;=60,"B",IF(Table1[[#This Row],[Percentage]]&gt;=40,"C","F")))</f>
        <v>C</v>
      </c>
      <c r="I268" t="str">
        <f t="shared" si="24"/>
        <v>Pass</v>
      </c>
      <c r="J268" t="str">
        <f t="shared" si="25"/>
        <v>Below Avg</v>
      </c>
      <c r="K268">
        <f>RANK(Table1[[#This Row],[Total]],Table1[Total],0)</f>
        <v>329</v>
      </c>
      <c r="L268" t="str">
        <f t="shared" si="26"/>
        <v>No</v>
      </c>
    </row>
    <row r="269" spans="1:12" x14ac:dyDescent="0.3">
      <c r="A269">
        <v>368</v>
      </c>
      <c r="B269" t="s">
        <v>11</v>
      </c>
      <c r="C269">
        <v>69</v>
      </c>
      <c r="D269">
        <v>32</v>
      </c>
      <c r="E269">
        <v>86</v>
      </c>
      <c r="F269">
        <f t="shared" si="22"/>
        <v>187</v>
      </c>
      <c r="G269">
        <f t="shared" si="23"/>
        <v>62.333333333333336</v>
      </c>
      <c r="H269" t="str">
        <f>IF(Table1[[#This Row],[Percentage]]&gt;=80,"A",IF(Table1[[#This Row],[Percentage]]&gt;=60,"B",IF(Table1[[#This Row],[Percentage]]&gt;=40,"C","F")))</f>
        <v>B</v>
      </c>
      <c r="I269" t="str">
        <f t="shared" si="24"/>
        <v>Pass</v>
      </c>
      <c r="J269" t="str">
        <f t="shared" si="25"/>
        <v>Below Avg</v>
      </c>
      <c r="K269">
        <f>RANK(Table1[[#This Row],[Total]],Table1[Total],0)</f>
        <v>281</v>
      </c>
      <c r="L269" t="str">
        <f t="shared" si="26"/>
        <v>No</v>
      </c>
    </row>
    <row r="270" spans="1:12" x14ac:dyDescent="0.3">
      <c r="A270">
        <v>369</v>
      </c>
      <c r="B270" t="s">
        <v>15</v>
      </c>
      <c r="C270">
        <v>91</v>
      </c>
      <c r="D270">
        <v>43</v>
      </c>
      <c r="E270">
        <v>73</v>
      </c>
      <c r="F270">
        <f t="shared" si="22"/>
        <v>207</v>
      </c>
      <c r="G270">
        <f t="shared" si="23"/>
        <v>69</v>
      </c>
      <c r="H270" t="str">
        <f>IF(Table1[[#This Row],[Percentage]]&gt;=80,"A",IF(Table1[[#This Row],[Percentage]]&gt;=60,"B",IF(Table1[[#This Row],[Percentage]]&gt;=40,"C","F")))</f>
        <v>B</v>
      </c>
      <c r="I270" t="str">
        <f t="shared" si="24"/>
        <v>Pass</v>
      </c>
      <c r="J270" t="str">
        <f t="shared" si="25"/>
        <v>Above Avg</v>
      </c>
      <c r="K270">
        <f>RANK(Table1[[#This Row],[Total]],Table1[Total],0)</f>
        <v>175</v>
      </c>
      <c r="L270" t="str">
        <f t="shared" si="26"/>
        <v>No</v>
      </c>
    </row>
    <row r="271" spans="1:12" x14ac:dyDescent="0.3">
      <c r="A271">
        <v>370</v>
      </c>
      <c r="B271" t="s">
        <v>10</v>
      </c>
      <c r="C271">
        <v>91</v>
      </c>
      <c r="D271">
        <v>55</v>
      </c>
      <c r="E271">
        <v>65</v>
      </c>
      <c r="F271">
        <f t="shared" si="22"/>
        <v>211</v>
      </c>
      <c r="G271">
        <f t="shared" si="23"/>
        <v>70.333333333333329</v>
      </c>
      <c r="H271" t="str">
        <f>IF(Table1[[#This Row],[Percentage]]&gt;=80,"A",IF(Table1[[#This Row],[Percentage]]&gt;=60,"B",IF(Table1[[#This Row],[Percentage]]&gt;=40,"C","F")))</f>
        <v>B</v>
      </c>
      <c r="I271" t="str">
        <f t="shared" si="24"/>
        <v>Pass</v>
      </c>
      <c r="J271" t="str">
        <f t="shared" si="25"/>
        <v>Above Avg</v>
      </c>
      <c r="K271">
        <f>RANK(Table1[[#This Row],[Total]],Table1[Total],0)</f>
        <v>153</v>
      </c>
      <c r="L271" t="str">
        <f t="shared" si="26"/>
        <v>No</v>
      </c>
    </row>
    <row r="272" spans="1:12" x14ac:dyDescent="0.3">
      <c r="A272">
        <v>371</v>
      </c>
      <c r="B272" t="s">
        <v>13</v>
      </c>
      <c r="C272">
        <v>35</v>
      </c>
      <c r="D272">
        <v>57</v>
      </c>
      <c r="E272">
        <v>82</v>
      </c>
      <c r="F272">
        <f t="shared" si="22"/>
        <v>174</v>
      </c>
      <c r="G272">
        <f t="shared" si="23"/>
        <v>58</v>
      </c>
      <c r="H272" t="str">
        <f>IF(Table1[[#This Row],[Percentage]]&gt;=80,"A",IF(Table1[[#This Row],[Percentage]]&gt;=60,"B",IF(Table1[[#This Row],[Percentage]]&gt;=40,"C","F")))</f>
        <v>C</v>
      </c>
      <c r="I272" t="str">
        <f t="shared" si="24"/>
        <v>Pass</v>
      </c>
      <c r="J272" t="str">
        <f t="shared" si="25"/>
        <v>Below Avg</v>
      </c>
      <c r="K272">
        <f>RANK(Table1[[#This Row],[Total]],Table1[Total],0)</f>
        <v>340</v>
      </c>
      <c r="L272" t="str">
        <f t="shared" si="26"/>
        <v>No</v>
      </c>
    </row>
    <row r="273" spans="1:12" x14ac:dyDescent="0.3">
      <c r="A273">
        <v>372</v>
      </c>
      <c r="B273" t="s">
        <v>9</v>
      </c>
      <c r="C273">
        <v>37</v>
      </c>
      <c r="D273">
        <v>77</v>
      </c>
      <c r="E273">
        <v>82</v>
      </c>
      <c r="F273">
        <f t="shared" si="22"/>
        <v>196</v>
      </c>
      <c r="G273">
        <f t="shared" si="23"/>
        <v>65.333333333333329</v>
      </c>
      <c r="H273" t="str">
        <f>IF(Table1[[#This Row],[Percentage]]&gt;=80,"A",IF(Table1[[#This Row],[Percentage]]&gt;=60,"B",IF(Table1[[#This Row],[Percentage]]&gt;=40,"C","F")))</f>
        <v>B</v>
      </c>
      <c r="I273" t="str">
        <f t="shared" si="24"/>
        <v>Pass</v>
      </c>
      <c r="J273" t="str">
        <f t="shared" si="25"/>
        <v>Above Avg</v>
      </c>
      <c r="K273">
        <f>RANK(Table1[[#This Row],[Total]],Table1[Total],0)</f>
        <v>235</v>
      </c>
      <c r="L273" t="str">
        <f t="shared" si="26"/>
        <v>No</v>
      </c>
    </row>
    <row r="274" spans="1:12" x14ac:dyDescent="0.3">
      <c r="A274">
        <v>373</v>
      </c>
      <c r="B274" t="s">
        <v>15</v>
      </c>
      <c r="C274">
        <v>76</v>
      </c>
      <c r="D274">
        <v>86</v>
      </c>
      <c r="E274">
        <v>68</v>
      </c>
      <c r="F274">
        <f t="shared" si="22"/>
        <v>230</v>
      </c>
      <c r="G274">
        <f t="shared" si="23"/>
        <v>76.666666666666671</v>
      </c>
      <c r="H274" t="str">
        <f>IF(Table1[[#This Row],[Percentage]]&gt;=80,"A",IF(Table1[[#This Row],[Percentage]]&gt;=60,"B",IF(Table1[[#This Row],[Percentage]]&gt;=40,"C","F")))</f>
        <v>B</v>
      </c>
      <c r="I274" t="str">
        <f t="shared" si="24"/>
        <v>Pass</v>
      </c>
      <c r="J274" t="str">
        <f t="shared" si="25"/>
        <v>Above Avg</v>
      </c>
      <c r="K274">
        <f>RANK(Table1[[#This Row],[Total]],Table1[Total],0)</f>
        <v>78</v>
      </c>
      <c r="L274" t="str">
        <f t="shared" si="26"/>
        <v>Yes</v>
      </c>
    </row>
    <row r="275" spans="1:12" x14ac:dyDescent="0.3">
      <c r="A275">
        <v>374</v>
      </c>
      <c r="B275" t="s">
        <v>10</v>
      </c>
      <c r="C275">
        <v>84</v>
      </c>
      <c r="D275">
        <v>80</v>
      </c>
      <c r="E275">
        <v>100</v>
      </c>
      <c r="F275">
        <f t="shared" si="22"/>
        <v>264</v>
      </c>
      <c r="G275">
        <f t="shared" si="23"/>
        <v>88</v>
      </c>
      <c r="H275" t="str">
        <f>IF(Table1[[#This Row],[Percentage]]&gt;=80,"A",IF(Table1[[#This Row],[Percentage]]&gt;=60,"B",IF(Table1[[#This Row],[Percentage]]&gt;=40,"C","F")))</f>
        <v>A</v>
      </c>
      <c r="I275" t="str">
        <f t="shared" si="24"/>
        <v>Pass</v>
      </c>
      <c r="J275" t="str">
        <f t="shared" si="25"/>
        <v>Above Avg</v>
      </c>
      <c r="K275">
        <f>RANK(Table1[[#This Row],[Total]],Table1[Total],0)</f>
        <v>10</v>
      </c>
      <c r="L275" t="str">
        <f t="shared" si="26"/>
        <v>Yes</v>
      </c>
    </row>
    <row r="276" spans="1:12" x14ac:dyDescent="0.3">
      <c r="A276">
        <v>375</v>
      </c>
      <c r="B276" t="s">
        <v>11</v>
      </c>
      <c r="C276">
        <v>60</v>
      </c>
      <c r="D276">
        <v>45</v>
      </c>
      <c r="E276">
        <v>61</v>
      </c>
      <c r="F276">
        <f t="shared" si="22"/>
        <v>166</v>
      </c>
      <c r="G276">
        <f t="shared" si="23"/>
        <v>55.333333333333336</v>
      </c>
      <c r="H276" t="str">
        <f>IF(Table1[[#This Row],[Percentage]]&gt;=80,"A",IF(Table1[[#This Row],[Percentage]]&gt;=60,"B",IF(Table1[[#This Row],[Percentage]]&gt;=40,"C","F")))</f>
        <v>C</v>
      </c>
      <c r="I276" t="str">
        <f t="shared" si="24"/>
        <v>Pass</v>
      </c>
      <c r="J276" t="str">
        <f t="shared" si="25"/>
        <v>Below Avg</v>
      </c>
      <c r="K276">
        <f>RANK(Table1[[#This Row],[Total]],Table1[Total],0)</f>
        <v>384</v>
      </c>
      <c r="L276" t="str">
        <f t="shared" si="26"/>
        <v>No</v>
      </c>
    </row>
    <row r="277" spans="1:12" x14ac:dyDescent="0.3">
      <c r="A277">
        <v>376</v>
      </c>
      <c r="B277" t="s">
        <v>9</v>
      </c>
      <c r="C277">
        <v>79</v>
      </c>
      <c r="D277">
        <v>30</v>
      </c>
      <c r="E277">
        <v>95</v>
      </c>
      <c r="F277">
        <f t="shared" si="22"/>
        <v>204</v>
      </c>
      <c r="G277">
        <f t="shared" si="23"/>
        <v>68</v>
      </c>
      <c r="H277" t="str">
        <f>IF(Table1[[#This Row],[Percentage]]&gt;=80,"A",IF(Table1[[#This Row],[Percentage]]&gt;=60,"B",IF(Table1[[#This Row],[Percentage]]&gt;=40,"C","F")))</f>
        <v>B</v>
      </c>
      <c r="I277" t="str">
        <f t="shared" si="24"/>
        <v>Pass</v>
      </c>
      <c r="J277" t="str">
        <f t="shared" si="25"/>
        <v>Above Avg</v>
      </c>
      <c r="K277">
        <f>RANK(Table1[[#This Row],[Total]],Table1[Total],0)</f>
        <v>193</v>
      </c>
      <c r="L277" t="str">
        <f t="shared" si="26"/>
        <v>No</v>
      </c>
    </row>
    <row r="278" spans="1:12" x14ac:dyDescent="0.3">
      <c r="A278">
        <v>377</v>
      </c>
      <c r="B278" t="s">
        <v>10</v>
      </c>
      <c r="C278">
        <v>82</v>
      </c>
      <c r="D278">
        <v>44</v>
      </c>
      <c r="E278">
        <v>61</v>
      </c>
      <c r="F278">
        <f t="shared" si="22"/>
        <v>187</v>
      </c>
      <c r="G278">
        <f t="shared" si="23"/>
        <v>62.333333333333336</v>
      </c>
      <c r="H278" t="str">
        <f>IF(Table1[[#This Row],[Percentage]]&gt;=80,"A",IF(Table1[[#This Row],[Percentage]]&gt;=60,"B",IF(Table1[[#This Row],[Percentage]]&gt;=40,"C","F")))</f>
        <v>B</v>
      </c>
      <c r="I278" t="str">
        <f t="shared" si="24"/>
        <v>Pass</v>
      </c>
      <c r="J278" t="str">
        <f t="shared" si="25"/>
        <v>Below Avg</v>
      </c>
      <c r="K278">
        <f>RANK(Table1[[#This Row],[Total]],Table1[Total],0)</f>
        <v>281</v>
      </c>
      <c r="L278" t="str">
        <f t="shared" si="26"/>
        <v>No</v>
      </c>
    </row>
    <row r="279" spans="1:12" x14ac:dyDescent="0.3">
      <c r="A279">
        <v>378</v>
      </c>
      <c r="B279" t="s">
        <v>12</v>
      </c>
      <c r="C279">
        <v>94</v>
      </c>
      <c r="D279">
        <v>79</v>
      </c>
      <c r="E279">
        <v>94</v>
      </c>
      <c r="F279">
        <f t="shared" si="22"/>
        <v>267</v>
      </c>
      <c r="G279">
        <f t="shared" si="23"/>
        <v>89</v>
      </c>
      <c r="H279" t="str">
        <f>IF(Table1[[#This Row],[Percentage]]&gt;=80,"A",IF(Table1[[#This Row],[Percentage]]&gt;=60,"B",IF(Table1[[#This Row],[Percentage]]&gt;=40,"C","F")))</f>
        <v>A</v>
      </c>
      <c r="I279" t="str">
        <f t="shared" si="24"/>
        <v>Pass</v>
      </c>
      <c r="J279" t="str">
        <f t="shared" si="25"/>
        <v>Above Avg</v>
      </c>
      <c r="K279">
        <f>RANK(Table1[[#This Row],[Total]],Table1[Total],0)</f>
        <v>7</v>
      </c>
      <c r="L279" t="str">
        <f t="shared" si="26"/>
        <v>Yes</v>
      </c>
    </row>
    <row r="280" spans="1:12" x14ac:dyDescent="0.3">
      <c r="A280">
        <v>379</v>
      </c>
      <c r="B280" t="s">
        <v>8</v>
      </c>
      <c r="C280">
        <v>73</v>
      </c>
      <c r="D280">
        <v>47</v>
      </c>
      <c r="E280">
        <v>42</v>
      </c>
      <c r="F280">
        <f t="shared" si="22"/>
        <v>162</v>
      </c>
      <c r="G280">
        <f t="shared" si="23"/>
        <v>54</v>
      </c>
      <c r="H280" t="str">
        <f>IF(Table1[[#This Row],[Percentage]]&gt;=80,"A",IF(Table1[[#This Row],[Percentage]]&gt;=60,"B",IF(Table1[[#This Row],[Percentage]]&gt;=40,"C","F")))</f>
        <v>C</v>
      </c>
      <c r="I280" t="str">
        <f t="shared" si="24"/>
        <v>Pass</v>
      </c>
      <c r="J280" t="str">
        <f t="shared" si="25"/>
        <v>Below Avg</v>
      </c>
      <c r="K280">
        <f>RANK(Table1[[#This Row],[Total]],Table1[Total],0)</f>
        <v>398</v>
      </c>
      <c r="L280" t="str">
        <f t="shared" si="26"/>
        <v>No</v>
      </c>
    </row>
    <row r="281" spans="1:12" x14ac:dyDescent="0.3">
      <c r="A281">
        <v>380</v>
      </c>
      <c r="B281" t="s">
        <v>13</v>
      </c>
      <c r="C281">
        <v>81</v>
      </c>
      <c r="D281">
        <v>99</v>
      </c>
      <c r="E281">
        <v>93</v>
      </c>
      <c r="F281">
        <f t="shared" si="22"/>
        <v>273</v>
      </c>
      <c r="G281">
        <f t="shared" si="23"/>
        <v>91</v>
      </c>
      <c r="H281" t="str">
        <f>IF(Table1[[#This Row],[Percentage]]&gt;=80,"A",IF(Table1[[#This Row],[Percentage]]&gt;=60,"B",IF(Table1[[#This Row],[Percentage]]&gt;=40,"C","F")))</f>
        <v>A</v>
      </c>
      <c r="I281" t="str">
        <f t="shared" si="24"/>
        <v>Pass</v>
      </c>
      <c r="J281" t="str">
        <f t="shared" si="25"/>
        <v>Above Avg</v>
      </c>
      <c r="K281">
        <f>RANK(Table1[[#This Row],[Total]],Table1[Total],0)</f>
        <v>4</v>
      </c>
      <c r="L281" t="str">
        <f t="shared" si="26"/>
        <v>Yes</v>
      </c>
    </row>
    <row r="282" spans="1:12" x14ac:dyDescent="0.3">
      <c r="A282">
        <v>381</v>
      </c>
      <c r="B282" t="s">
        <v>11</v>
      </c>
      <c r="C282">
        <v>59</v>
      </c>
      <c r="D282">
        <v>61</v>
      </c>
      <c r="E282">
        <v>63</v>
      </c>
      <c r="F282">
        <f t="shared" si="22"/>
        <v>183</v>
      </c>
      <c r="G282">
        <f t="shared" si="23"/>
        <v>61</v>
      </c>
      <c r="H282" t="str">
        <f>IF(Table1[[#This Row],[Percentage]]&gt;=80,"A",IF(Table1[[#This Row],[Percentage]]&gt;=60,"B",IF(Table1[[#This Row],[Percentage]]&gt;=40,"C","F")))</f>
        <v>B</v>
      </c>
      <c r="I282" t="str">
        <f t="shared" si="24"/>
        <v>Pass</v>
      </c>
      <c r="J282" t="str">
        <f t="shared" si="25"/>
        <v>Below Avg</v>
      </c>
      <c r="K282">
        <f>RANK(Table1[[#This Row],[Total]],Table1[Total],0)</f>
        <v>307</v>
      </c>
      <c r="L282" t="str">
        <f t="shared" si="26"/>
        <v>No</v>
      </c>
    </row>
    <row r="283" spans="1:12" x14ac:dyDescent="0.3">
      <c r="A283">
        <v>382</v>
      </c>
      <c r="B283" t="s">
        <v>11</v>
      </c>
      <c r="C283">
        <v>57</v>
      </c>
      <c r="D283">
        <v>73</v>
      </c>
      <c r="E283">
        <v>58</v>
      </c>
      <c r="F283">
        <f t="shared" si="22"/>
        <v>188</v>
      </c>
      <c r="G283">
        <f t="shared" si="23"/>
        <v>62.666666666666664</v>
      </c>
      <c r="H283" t="str">
        <f>IF(Table1[[#This Row],[Percentage]]&gt;=80,"A",IF(Table1[[#This Row],[Percentage]]&gt;=60,"B",IF(Table1[[#This Row],[Percentage]]&gt;=40,"C","F")))</f>
        <v>B</v>
      </c>
      <c r="I283" t="str">
        <f t="shared" si="24"/>
        <v>Pass</v>
      </c>
      <c r="J283" t="str">
        <f t="shared" si="25"/>
        <v>Below Avg</v>
      </c>
      <c r="K283">
        <f>RANK(Table1[[#This Row],[Total]],Table1[Total],0)</f>
        <v>277</v>
      </c>
      <c r="L283" t="str">
        <f t="shared" si="26"/>
        <v>No</v>
      </c>
    </row>
    <row r="284" spans="1:12" x14ac:dyDescent="0.3">
      <c r="A284">
        <v>383</v>
      </c>
      <c r="B284" t="s">
        <v>14</v>
      </c>
      <c r="C284">
        <v>51</v>
      </c>
      <c r="D284">
        <v>47</v>
      </c>
      <c r="E284">
        <v>92</v>
      </c>
      <c r="F284">
        <f t="shared" si="22"/>
        <v>190</v>
      </c>
      <c r="G284">
        <f t="shared" si="23"/>
        <v>63.333333333333336</v>
      </c>
      <c r="H284" t="str">
        <f>IF(Table1[[#This Row],[Percentage]]&gt;=80,"A",IF(Table1[[#This Row],[Percentage]]&gt;=60,"B",IF(Table1[[#This Row],[Percentage]]&gt;=40,"C","F")))</f>
        <v>B</v>
      </c>
      <c r="I284" t="str">
        <f t="shared" si="24"/>
        <v>Pass</v>
      </c>
      <c r="J284" t="str">
        <f t="shared" si="25"/>
        <v>Below Avg</v>
      </c>
      <c r="K284">
        <f>RANK(Table1[[#This Row],[Total]],Table1[Total],0)</f>
        <v>271</v>
      </c>
      <c r="L284" t="str">
        <f t="shared" si="26"/>
        <v>No</v>
      </c>
    </row>
    <row r="285" spans="1:12" x14ac:dyDescent="0.3">
      <c r="A285">
        <v>384</v>
      </c>
      <c r="B285" t="s">
        <v>13</v>
      </c>
      <c r="C285">
        <v>35</v>
      </c>
      <c r="D285">
        <v>30</v>
      </c>
      <c r="E285">
        <v>39</v>
      </c>
      <c r="F285">
        <f t="shared" si="22"/>
        <v>104</v>
      </c>
      <c r="G285">
        <f t="shared" si="23"/>
        <v>34.666666666666664</v>
      </c>
      <c r="H285" t="str">
        <f>IF(Table1[[#This Row],[Percentage]]&gt;=80,"A",IF(Table1[[#This Row],[Percentage]]&gt;=60,"B",IF(Table1[[#This Row],[Percentage]]&gt;=40,"C","F")))</f>
        <v>F</v>
      </c>
      <c r="I285" t="str">
        <f t="shared" si="24"/>
        <v>Fail</v>
      </c>
      <c r="J285" t="str">
        <f t="shared" si="25"/>
        <v>Below Avg</v>
      </c>
      <c r="K285">
        <f>RANK(Table1[[#This Row],[Total]],Table1[Total],0)</f>
        <v>499</v>
      </c>
      <c r="L285" t="str">
        <f t="shared" si="26"/>
        <v>No</v>
      </c>
    </row>
    <row r="286" spans="1:12" x14ac:dyDescent="0.3">
      <c r="A286">
        <v>385</v>
      </c>
      <c r="B286" t="s">
        <v>13</v>
      </c>
      <c r="C286">
        <v>77</v>
      </c>
      <c r="D286">
        <v>71</v>
      </c>
      <c r="E286">
        <v>77</v>
      </c>
      <c r="F286">
        <f t="shared" si="22"/>
        <v>225</v>
      </c>
      <c r="G286">
        <f t="shared" si="23"/>
        <v>75</v>
      </c>
      <c r="H286" t="str">
        <f>IF(Table1[[#This Row],[Percentage]]&gt;=80,"A",IF(Table1[[#This Row],[Percentage]]&gt;=60,"B",IF(Table1[[#This Row],[Percentage]]&gt;=40,"C","F")))</f>
        <v>B</v>
      </c>
      <c r="I286" t="str">
        <f t="shared" si="24"/>
        <v>Pass</v>
      </c>
      <c r="J286" t="str">
        <f t="shared" si="25"/>
        <v>Above Avg</v>
      </c>
      <c r="K286">
        <f>RANK(Table1[[#This Row],[Total]],Table1[Total],0)</f>
        <v>94</v>
      </c>
      <c r="L286" t="str">
        <f t="shared" si="26"/>
        <v>Yes</v>
      </c>
    </row>
    <row r="287" spans="1:12" x14ac:dyDescent="0.3">
      <c r="A287">
        <v>386</v>
      </c>
      <c r="B287" t="s">
        <v>10</v>
      </c>
      <c r="C287">
        <v>58</v>
      </c>
      <c r="D287">
        <v>100</v>
      </c>
      <c r="E287">
        <v>38</v>
      </c>
      <c r="F287">
        <f t="shared" si="22"/>
        <v>196</v>
      </c>
      <c r="G287">
        <f t="shared" si="23"/>
        <v>65.333333333333329</v>
      </c>
      <c r="H287" t="str">
        <f>IF(Table1[[#This Row],[Percentage]]&gt;=80,"A",IF(Table1[[#This Row],[Percentage]]&gt;=60,"B",IF(Table1[[#This Row],[Percentage]]&gt;=40,"C","F")))</f>
        <v>B</v>
      </c>
      <c r="I287" t="str">
        <f t="shared" si="24"/>
        <v>Pass</v>
      </c>
      <c r="J287" t="str">
        <f t="shared" si="25"/>
        <v>Above Avg</v>
      </c>
      <c r="K287">
        <f>RANK(Table1[[#This Row],[Total]],Table1[Total],0)</f>
        <v>235</v>
      </c>
      <c r="L287" t="str">
        <f t="shared" si="26"/>
        <v>No</v>
      </c>
    </row>
    <row r="288" spans="1:12" x14ac:dyDescent="0.3">
      <c r="A288">
        <v>387</v>
      </c>
      <c r="B288" t="s">
        <v>9</v>
      </c>
      <c r="C288">
        <v>44</v>
      </c>
      <c r="D288">
        <v>87</v>
      </c>
      <c r="E288">
        <v>43</v>
      </c>
      <c r="F288">
        <f t="shared" si="22"/>
        <v>174</v>
      </c>
      <c r="G288">
        <f t="shared" si="23"/>
        <v>58</v>
      </c>
      <c r="H288" t="str">
        <f>IF(Table1[[#This Row],[Percentage]]&gt;=80,"A",IF(Table1[[#This Row],[Percentage]]&gt;=60,"B",IF(Table1[[#This Row],[Percentage]]&gt;=40,"C","F")))</f>
        <v>C</v>
      </c>
      <c r="I288" t="str">
        <f t="shared" si="24"/>
        <v>Pass</v>
      </c>
      <c r="J288" t="str">
        <f t="shared" si="25"/>
        <v>Below Avg</v>
      </c>
      <c r="K288">
        <f>RANK(Table1[[#This Row],[Total]],Table1[Total],0)</f>
        <v>340</v>
      </c>
      <c r="L288" t="str">
        <f t="shared" si="26"/>
        <v>No</v>
      </c>
    </row>
    <row r="289" spans="1:12" x14ac:dyDescent="0.3">
      <c r="A289">
        <v>388</v>
      </c>
      <c r="B289" t="s">
        <v>15</v>
      </c>
      <c r="C289">
        <v>68</v>
      </c>
      <c r="D289">
        <v>83</v>
      </c>
      <c r="E289">
        <v>60</v>
      </c>
      <c r="F289">
        <f t="shared" si="22"/>
        <v>211</v>
      </c>
      <c r="G289">
        <f t="shared" si="23"/>
        <v>70.333333333333329</v>
      </c>
      <c r="H289" t="str">
        <f>IF(Table1[[#This Row],[Percentage]]&gt;=80,"A",IF(Table1[[#This Row],[Percentage]]&gt;=60,"B",IF(Table1[[#This Row],[Percentage]]&gt;=40,"C","F")))</f>
        <v>B</v>
      </c>
      <c r="I289" t="str">
        <f t="shared" si="24"/>
        <v>Pass</v>
      </c>
      <c r="J289" t="str">
        <f t="shared" si="25"/>
        <v>Above Avg</v>
      </c>
      <c r="K289">
        <f>RANK(Table1[[#This Row],[Total]],Table1[Total],0)</f>
        <v>153</v>
      </c>
      <c r="L289" t="str">
        <f t="shared" si="26"/>
        <v>No</v>
      </c>
    </row>
    <row r="290" spans="1:12" x14ac:dyDescent="0.3">
      <c r="A290">
        <v>389</v>
      </c>
      <c r="B290" t="s">
        <v>13</v>
      </c>
      <c r="C290">
        <v>30</v>
      </c>
      <c r="D290">
        <v>92</v>
      </c>
      <c r="E290">
        <v>42</v>
      </c>
      <c r="F290">
        <f t="shared" si="22"/>
        <v>164</v>
      </c>
      <c r="G290">
        <f t="shared" si="23"/>
        <v>54.666666666666664</v>
      </c>
      <c r="H290" t="str">
        <f>IF(Table1[[#This Row],[Percentage]]&gt;=80,"A",IF(Table1[[#This Row],[Percentage]]&gt;=60,"B",IF(Table1[[#This Row],[Percentage]]&gt;=40,"C","F")))</f>
        <v>C</v>
      </c>
      <c r="I290" t="str">
        <f t="shared" si="24"/>
        <v>Pass</v>
      </c>
      <c r="J290" t="str">
        <f t="shared" si="25"/>
        <v>Below Avg</v>
      </c>
      <c r="K290">
        <f>RANK(Table1[[#This Row],[Total]],Table1[Total],0)</f>
        <v>392</v>
      </c>
      <c r="L290" t="str">
        <f t="shared" si="26"/>
        <v>No</v>
      </c>
    </row>
    <row r="291" spans="1:12" x14ac:dyDescent="0.3">
      <c r="A291">
        <v>390</v>
      </c>
      <c r="B291" t="s">
        <v>8</v>
      </c>
      <c r="C291">
        <v>39</v>
      </c>
      <c r="D291">
        <v>43</v>
      </c>
      <c r="E291">
        <v>50</v>
      </c>
      <c r="F291">
        <f t="shared" si="22"/>
        <v>132</v>
      </c>
      <c r="G291">
        <f t="shared" si="23"/>
        <v>44</v>
      </c>
      <c r="H291" t="str">
        <f>IF(Table1[[#This Row],[Percentage]]&gt;=80,"A",IF(Table1[[#This Row],[Percentage]]&gt;=60,"B",IF(Table1[[#This Row],[Percentage]]&gt;=40,"C","F")))</f>
        <v>C</v>
      </c>
      <c r="I291" t="str">
        <f t="shared" si="24"/>
        <v>Pass</v>
      </c>
      <c r="J291" t="str">
        <f t="shared" si="25"/>
        <v>Below Avg</v>
      </c>
      <c r="K291">
        <f>RANK(Table1[[#This Row],[Total]],Table1[Total],0)</f>
        <v>484</v>
      </c>
      <c r="L291" t="str">
        <f t="shared" si="26"/>
        <v>No</v>
      </c>
    </row>
    <row r="292" spans="1:12" x14ac:dyDescent="0.3">
      <c r="A292">
        <v>391</v>
      </c>
      <c r="B292" t="s">
        <v>10</v>
      </c>
      <c r="C292">
        <v>39</v>
      </c>
      <c r="D292">
        <v>64</v>
      </c>
      <c r="E292">
        <v>50</v>
      </c>
      <c r="F292">
        <f t="shared" si="22"/>
        <v>153</v>
      </c>
      <c r="G292">
        <f t="shared" si="23"/>
        <v>51</v>
      </c>
      <c r="H292" t="str">
        <f>IF(Table1[[#This Row],[Percentage]]&gt;=80,"A",IF(Table1[[#This Row],[Percentage]]&gt;=60,"B",IF(Table1[[#This Row],[Percentage]]&gt;=40,"C","F")))</f>
        <v>C</v>
      </c>
      <c r="I292" t="str">
        <f t="shared" si="24"/>
        <v>Pass</v>
      </c>
      <c r="J292" t="str">
        <f t="shared" si="25"/>
        <v>Below Avg</v>
      </c>
      <c r="K292">
        <f>RANK(Table1[[#This Row],[Total]],Table1[Total],0)</f>
        <v>433</v>
      </c>
      <c r="L292" t="str">
        <f t="shared" si="26"/>
        <v>No</v>
      </c>
    </row>
    <row r="293" spans="1:12" x14ac:dyDescent="0.3">
      <c r="A293">
        <v>392</v>
      </c>
      <c r="B293" t="s">
        <v>15</v>
      </c>
      <c r="C293">
        <v>67</v>
      </c>
      <c r="D293">
        <v>98</v>
      </c>
      <c r="E293">
        <v>70</v>
      </c>
      <c r="F293">
        <f t="shared" si="22"/>
        <v>235</v>
      </c>
      <c r="G293">
        <f t="shared" si="23"/>
        <v>78.333333333333329</v>
      </c>
      <c r="H293" t="str">
        <f>IF(Table1[[#This Row],[Percentage]]&gt;=80,"A",IF(Table1[[#This Row],[Percentage]]&gt;=60,"B",IF(Table1[[#This Row],[Percentage]]&gt;=40,"C","F")))</f>
        <v>B</v>
      </c>
      <c r="I293" t="str">
        <f t="shared" si="24"/>
        <v>Pass</v>
      </c>
      <c r="J293" t="str">
        <f t="shared" si="25"/>
        <v>Above Avg</v>
      </c>
      <c r="K293">
        <f>RANK(Table1[[#This Row],[Total]],Table1[Total],0)</f>
        <v>62</v>
      </c>
      <c r="L293" t="str">
        <f t="shared" si="26"/>
        <v>Yes</v>
      </c>
    </row>
    <row r="294" spans="1:12" x14ac:dyDescent="0.3">
      <c r="A294">
        <v>393</v>
      </c>
      <c r="B294" t="s">
        <v>14</v>
      </c>
      <c r="C294">
        <v>69</v>
      </c>
      <c r="D294">
        <v>53</v>
      </c>
      <c r="E294">
        <v>100</v>
      </c>
      <c r="F294">
        <f t="shared" si="22"/>
        <v>222</v>
      </c>
      <c r="G294">
        <f t="shared" si="23"/>
        <v>74</v>
      </c>
      <c r="H294" t="str">
        <f>IF(Table1[[#This Row],[Percentage]]&gt;=80,"A",IF(Table1[[#This Row],[Percentage]]&gt;=60,"B",IF(Table1[[#This Row],[Percentage]]&gt;=40,"C","F")))</f>
        <v>B</v>
      </c>
      <c r="I294" t="str">
        <f t="shared" si="24"/>
        <v>Pass</v>
      </c>
      <c r="J294" t="str">
        <f t="shared" si="25"/>
        <v>Above Avg</v>
      </c>
      <c r="K294">
        <f>RANK(Table1[[#This Row],[Total]],Table1[Total],0)</f>
        <v>105</v>
      </c>
      <c r="L294" t="str">
        <f t="shared" si="26"/>
        <v>No</v>
      </c>
    </row>
    <row r="295" spans="1:12" x14ac:dyDescent="0.3">
      <c r="A295">
        <v>394</v>
      </c>
      <c r="B295" t="s">
        <v>14</v>
      </c>
      <c r="C295">
        <v>94</v>
      </c>
      <c r="D295">
        <v>70</v>
      </c>
      <c r="E295">
        <v>34</v>
      </c>
      <c r="F295">
        <f t="shared" si="22"/>
        <v>198</v>
      </c>
      <c r="G295">
        <f t="shared" si="23"/>
        <v>66</v>
      </c>
      <c r="H295" t="str">
        <f>IF(Table1[[#This Row],[Percentage]]&gt;=80,"A",IF(Table1[[#This Row],[Percentage]]&gt;=60,"B",IF(Table1[[#This Row],[Percentage]]&gt;=40,"C","F")))</f>
        <v>B</v>
      </c>
      <c r="I295" t="str">
        <f t="shared" si="24"/>
        <v>Pass</v>
      </c>
      <c r="J295" t="str">
        <f t="shared" si="25"/>
        <v>Above Avg</v>
      </c>
      <c r="K295">
        <f>RANK(Table1[[#This Row],[Total]],Table1[Total],0)</f>
        <v>217</v>
      </c>
      <c r="L295" t="str">
        <f t="shared" si="26"/>
        <v>No</v>
      </c>
    </row>
    <row r="296" spans="1:12" x14ac:dyDescent="0.3">
      <c r="A296">
        <v>395</v>
      </c>
      <c r="B296" t="s">
        <v>10</v>
      </c>
      <c r="C296">
        <v>79</v>
      </c>
      <c r="D296">
        <v>42</v>
      </c>
      <c r="E296">
        <v>33</v>
      </c>
      <c r="F296">
        <f t="shared" si="22"/>
        <v>154</v>
      </c>
      <c r="G296">
        <f t="shared" si="23"/>
        <v>51.333333333333336</v>
      </c>
      <c r="H296" t="str">
        <f>IF(Table1[[#This Row],[Percentage]]&gt;=80,"A",IF(Table1[[#This Row],[Percentage]]&gt;=60,"B",IF(Table1[[#This Row],[Percentage]]&gt;=40,"C","F")))</f>
        <v>C</v>
      </c>
      <c r="I296" t="str">
        <f t="shared" si="24"/>
        <v>Pass</v>
      </c>
      <c r="J296" t="str">
        <f t="shared" si="25"/>
        <v>Below Avg</v>
      </c>
      <c r="K296">
        <f>RANK(Table1[[#This Row],[Total]],Table1[Total],0)</f>
        <v>430</v>
      </c>
      <c r="L296" t="str">
        <f t="shared" si="26"/>
        <v>No</v>
      </c>
    </row>
    <row r="297" spans="1:12" x14ac:dyDescent="0.3">
      <c r="A297">
        <v>396</v>
      </c>
      <c r="B297" t="s">
        <v>12</v>
      </c>
      <c r="C297">
        <v>54</v>
      </c>
      <c r="D297">
        <v>51</v>
      </c>
      <c r="E297">
        <v>90</v>
      </c>
      <c r="F297">
        <f t="shared" si="22"/>
        <v>195</v>
      </c>
      <c r="G297">
        <f t="shared" si="23"/>
        <v>65</v>
      </c>
      <c r="H297" t="str">
        <f>IF(Table1[[#This Row],[Percentage]]&gt;=80,"A",IF(Table1[[#This Row],[Percentage]]&gt;=60,"B",IF(Table1[[#This Row],[Percentage]]&gt;=40,"C","F")))</f>
        <v>B</v>
      </c>
      <c r="I297" t="str">
        <f t="shared" si="24"/>
        <v>Pass</v>
      </c>
      <c r="J297" t="str">
        <f t="shared" si="25"/>
        <v>Above Avg</v>
      </c>
      <c r="K297">
        <f>RANK(Table1[[#This Row],[Total]],Table1[Total],0)</f>
        <v>243</v>
      </c>
      <c r="L297" t="str">
        <f t="shared" si="26"/>
        <v>No</v>
      </c>
    </row>
    <row r="298" spans="1:12" x14ac:dyDescent="0.3">
      <c r="A298">
        <v>397</v>
      </c>
      <c r="B298" t="s">
        <v>12</v>
      </c>
      <c r="C298">
        <v>41</v>
      </c>
      <c r="D298">
        <v>34</v>
      </c>
      <c r="E298">
        <v>54</v>
      </c>
      <c r="F298">
        <f t="shared" si="22"/>
        <v>129</v>
      </c>
      <c r="G298">
        <f t="shared" si="23"/>
        <v>43</v>
      </c>
      <c r="H298" t="str">
        <f>IF(Table1[[#This Row],[Percentage]]&gt;=80,"A",IF(Table1[[#This Row],[Percentage]]&gt;=60,"B",IF(Table1[[#This Row],[Percentage]]&gt;=40,"C","F")))</f>
        <v>C</v>
      </c>
      <c r="I298" t="str">
        <f t="shared" si="24"/>
        <v>Pass</v>
      </c>
      <c r="J298" t="str">
        <f t="shared" si="25"/>
        <v>Below Avg</v>
      </c>
      <c r="K298">
        <f>RANK(Table1[[#This Row],[Total]],Table1[Total],0)</f>
        <v>488</v>
      </c>
      <c r="L298" t="str">
        <f t="shared" si="26"/>
        <v>No</v>
      </c>
    </row>
    <row r="299" spans="1:12" x14ac:dyDescent="0.3">
      <c r="A299">
        <v>398</v>
      </c>
      <c r="B299" t="s">
        <v>9</v>
      </c>
      <c r="C299">
        <v>69</v>
      </c>
      <c r="D299">
        <v>66</v>
      </c>
      <c r="E299">
        <v>40</v>
      </c>
      <c r="F299">
        <f t="shared" si="22"/>
        <v>175</v>
      </c>
      <c r="G299">
        <f t="shared" si="23"/>
        <v>58.333333333333336</v>
      </c>
      <c r="H299" t="str">
        <f>IF(Table1[[#This Row],[Percentage]]&gt;=80,"A",IF(Table1[[#This Row],[Percentage]]&gt;=60,"B",IF(Table1[[#This Row],[Percentage]]&gt;=40,"C","F")))</f>
        <v>C</v>
      </c>
      <c r="I299" t="str">
        <f t="shared" si="24"/>
        <v>Pass</v>
      </c>
      <c r="J299" t="str">
        <f t="shared" si="25"/>
        <v>Below Avg</v>
      </c>
      <c r="K299">
        <f>RANK(Table1[[#This Row],[Total]],Table1[Total],0)</f>
        <v>336</v>
      </c>
      <c r="L299" t="str">
        <f t="shared" si="26"/>
        <v>No</v>
      </c>
    </row>
    <row r="300" spans="1:12" x14ac:dyDescent="0.3">
      <c r="A300">
        <v>399</v>
      </c>
      <c r="B300" t="s">
        <v>10</v>
      </c>
      <c r="C300">
        <v>84</v>
      </c>
      <c r="D300">
        <v>93</v>
      </c>
      <c r="E300">
        <v>50</v>
      </c>
      <c r="F300">
        <f t="shared" si="22"/>
        <v>227</v>
      </c>
      <c r="G300">
        <f t="shared" si="23"/>
        <v>75.666666666666671</v>
      </c>
      <c r="H300" t="str">
        <f>IF(Table1[[#This Row],[Percentage]]&gt;=80,"A",IF(Table1[[#This Row],[Percentage]]&gt;=60,"B",IF(Table1[[#This Row],[Percentage]]&gt;=40,"C","F")))</f>
        <v>B</v>
      </c>
      <c r="I300" t="str">
        <f t="shared" si="24"/>
        <v>Pass</v>
      </c>
      <c r="J300" t="str">
        <f t="shared" si="25"/>
        <v>Above Avg</v>
      </c>
      <c r="K300">
        <f>RANK(Table1[[#This Row],[Total]],Table1[Total],0)</f>
        <v>86</v>
      </c>
      <c r="L300" t="str">
        <f t="shared" si="26"/>
        <v>Yes</v>
      </c>
    </row>
    <row r="301" spans="1:12" x14ac:dyDescent="0.3">
      <c r="A301">
        <v>400</v>
      </c>
      <c r="B301" t="s">
        <v>8</v>
      </c>
      <c r="C301">
        <v>60</v>
      </c>
      <c r="D301">
        <v>94</v>
      </c>
      <c r="E301">
        <v>68</v>
      </c>
      <c r="F301">
        <f t="shared" si="22"/>
        <v>222</v>
      </c>
      <c r="G301">
        <f t="shared" si="23"/>
        <v>74</v>
      </c>
      <c r="H301" t="str">
        <f>IF(Table1[[#This Row],[Percentage]]&gt;=80,"A",IF(Table1[[#This Row],[Percentage]]&gt;=60,"B",IF(Table1[[#This Row],[Percentage]]&gt;=40,"C","F")))</f>
        <v>B</v>
      </c>
      <c r="I301" t="str">
        <f t="shared" si="24"/>
        <v>Pass</v>
      </c>
      <c r="J301" t="str">
        <f t="shared" si="25"/>
        <v>Above Avg</v>
      </c>
      <c r="K301">
        <f>RANK(Table1[[#This Row],[Total]],Table1[Total],0)</f>
        <v>105</v>
      </c>
      <c r="L301" t="str">
        <f t="shared" si="26"/>
        <v>No</v>
      </c>
    </row>
    <row r="302" spans="1:12" x14ac:dyDescent="0.3">
      <c r="A302">
        <v>401</v>
      </c>
      <c r="B302" t="s">
        <v>8</v>
      </c>
      <c r="C302">
        <v>77</v>
      </c>
      <c r="D302">
        <v>43</v>
      </c>
      <c r="E302">
        <v>94</v>
      </c>
      <c r="F302">
        <f t="shared" si="22"/>
        <v>214</v>
      </c>
      <c r="G302">
        <f t="shared" si="23"/>
        <v>71.333333333333329</v>
      </c>
      <c r="H302" t="str">
        <f>IF(Table1[[#This Row],[Percentage]]&gt;=80,"A",IF(Table1[[#This Row],[Percentage]]&gt;=60,"B",IF(Table1[[#This Row],[Percentage]]&gt;=40,"C","F")))</f>
        <v>B</v>
      </c>
      <c r="I302" t="str">
        <f t="shared" si="24"/>
        <v>Pass</v>
      </c>
      <c r="J302" t="str">
        <f t="shared" si="25"/>
        <v>Above Avg</v>
      </c>
      <c r="K302">
        <f>RANK(Table1[[#This Row],[Total]],Table1[Total],0)</f>
        <v>140</v>
      </c>
      <c r="L302" t="str">
        <f t="shared" si="26"/>
        <v>No</v>
      </c>
    </row>
    <row r="303" spans="1:12" x14ac:dyDescent="0.3">
      <c r="A303">
        <v>402</v>
      </c>
      <c r="B303" t="s">
        <v>12</v>
      </c>
      <c r="C303">
        <v>43</v>
      </c>
      <c r="D303">
        <v>96</v>
      </c>
      <c r="E303">
        <v>68</v>
      </c>
      <c r="F303">
        <f t="shared" si="22"/>
        <v>207</v>
      </c>
      <c r="G303">
        <f t="shared" si="23"/>
        <v>69</v>
      </c>
      <c r="H303" t="str">
        <f>IF(Table1[[#This Row],[Percentage]]&gt;=80,"A",IF(Table1[[#This Row],[Percentage]]&gt;=60,"B",IF(Table1[[#This Row],[Percentage]]&gt;=40,"C","F")))</f>
        <v>B</v>
      </c>
      <c r="I303" t="str">
        <f t="shared" si="24"/>
        <v>Pass</v>
      </c>
      <c r="J303" t="str">
        <f t="shared" si="25"/>
        <v>Above Avg</v>
      </c>
      <c r="K303">
        <f>RANK(Table1[[#This Row],[Total]],Table1[Total],0)</f>
        <v>175</v>
      </c>
      <c r="L303" t="str">
        <f t="shared" si="26"/>
        <v>No</v>
      </c>
    </row>
    <row r="304" spans="1:12" x14ac:dyDescent="0.3">
      <c r="A304">
        <v>403</v>
      </c>
      <c r="B304" t="s">
        <v>9</v>
      </c>
      <c r="C304">
        <v>73</v>
      </c>
      <c r="D304">
        <v>77</v>
      </c>
      <c r="E304">
        <v>100</v>
      </c>
      <c r="F304">
        <f t="shared" si="22"/>
        <v>250</v>
      </c>
      <c r="G304">
        <f t="shared" si="23"/>
        <v>83.333333333333329</v>
      </c>
      <c r="H304" t="str">
        <f>IF(Table1[[#This Row],[Percentage]]&gt;=80,"A",IF(Table1[[#This Row],[Percentage]]&gt;=60,"B",IF(Table1[[#This Row],[Percentage]]&gt;=40,"C","F")))</f>
        <v>A</v>
      </c>
      <c r="I304" t="str">
        <f t="shared" si="24"/>
        <v>Pass</v>
      </c>
      <c r="J304" t="str">
        <f t="shared" si="25"/>
        <v>Above Avg</v>
      </c>
      <c r="K304">
        <f>RANK(Table1[[#This Row],[Total]],Table1[Total],0)</f>
        <v>33</v>
      </c>
      <c r="L304" t="str">
        <f t="shared" si="26"/>
        <v>Yes</v>
      </c>
    </row>
    <row r="305" spans="1:12" x14ac:dyDescent="0.3">
      <c r="A305">
        <v>404</v>
      </c>
      <c r="B305" t="s">
        <v>10</v>
      </c>
      <c r="C305">
        <v>61</v>
      </c>
      <c r="D305">
        <v>81</v>
      </c>
      <c r="E305">
        <v>48</v>
      </c>
      <c r="F305">
        <f t="shared" si="22"/>
        <v>190</v>
      </c>
      <c r="G305">
        <f t="shared" si="23"/>
        <v>63.333333333333336</v>
      </c>
      <c r="H305" t="str">
        <f>IF(Table1[[#This Row],[Percentage]]&gt;=80,"A",IF(Table1[[#This Row],[Percentage]]&gt;=60,"B",IF(Table1[[#This Row],[Percentage]]&gt;=40,"C","F")))</f>
        <v>B</v>
      </c>
      <c r="I305" t="str">
        <f t="shared" si="24"/>
        <v>Pass</v>
      </c>
      <c r="J305" t="str">
        <f t="shared" si="25"/>
        <v>Below Avg</v>
      </c>
      <c r="K305">
        <f>RANK(Table1[[#This Row],[Total]],Table1[Total],0)</f>
        <v>271</v>
      </c>
      <c r="L305" t="str">
        <f t="shared" si="26"/>
        <v>No</v>
      </c>
    </row>
    <row r="306" spans="1:12" x14ac:dyDescent="0.3">
      <c r="A306">
        <v>405</v>
      </c>
      <c r="B306" t="s">
        <v>15</v>
      </c>
      <c r="C306">
        <v>89</v>
      </c>
      <c r="D306">
        <v>90</v>
      </c>
      <c r="E306">
        <v>67</v>
      </c>
      <c r="F306">
        <f t="shared" si="22"/>
        <v>246</v>
      </c>
      <c r="G306">
        <f t="shared" si="23"/>
        <v>82</v>
      </c>
      <c r="H306" t="str">
        <f>IF(Table1[[#This Row],[Percentage]]&gt;=80,"A",IF(Table1[[#This Row],[Percentage]]&gt;=60,"B",IF(Table1[[#This Row],[Percentage]]&gt;=40,"C","F")))</f>
        <v>A</v>
      </c>
      <c r="I306" t="str">
        <f t="shared" si="24"/>
        <v>Pass</v>
      </c>
      <c r="J306" t="str">
        <f t="shared" si="25"/>
        <v>Above Avg</v>
      </c>
      <c r="K306">
        <f>RANK(Table1[[#This Row],[Total]],Table1[Total],0)</f>
        <v>40</v>
      </c>
      <c r="L306" t="str">
        <f t="shared" si="26"/>
        <v>Yes</v>
      </c>
    </row>
    <row r="307" spans="1:12" x14ac:dyDescent="0.3">
      <c r="A307">
        <v>406</v>
      </c>
      <c r="B307" t="s">
        <v>11</v>
      </c>
      <c r="C307">
        <v>70</v>
      </c>
      <c r="D307">
        <v>39</v>
      </c>
      <c r="E307">
        <v>33</v>
      </c>
      <c r="F307">
        <f t="shared" si="22"/>
        <v>142</v>
      </c>
      <c r="G307">
        <f t="shared" si="23"/>
        <v>47.333333333333336</v>
      </c>
      <c r="H307" t="str">
        <f>IF(Table1[[#This Row],[Percentage]]&gt;=80,"A",IF(Table1[[#This Row],[Percentage]]&gt;=60,"B",IF(Table1[[#This Row],[Percentage]]&gt;=40,"C","F")))</f>
        <v>C</v>
      </c>
      <c r="I307" t="str">
        <f t="shared" si="24"/>
        <v>Pass</v>
      </c>
      <c r="J307" t="str">
        <f t="shared" si="25"/>
        <v>Below Avg</v>
      </c>
      <c r="K307">
        <f>RANK(Table1[[#This Row],[Total]],Table1[Total],0)</f>
        <v>462</v>
      </c>
      <c r="L307" t="str">
        <f t="shared" si="26"/>
        <v>No</v>
      </c>
    </row>
    <row r="308" spans="1:12" x14ac:dyDescent="0.3">
      <c r="A308">
        <v>407</v>
      </c>
      <c r="B308" t="s">
        <v>14</v>
      </c>
      <c r="C308">
        <v>44</v>
      </c>
      <c r="D308">
        <v>58</v>
      </c>
      <c r="E308">
        <v>89</v>
      </c>
      <c r="F308">
        <f t="shared" si="22"/>
        <v>191</v>
      </c>
      <c r="G308">
        <f t="shared" si="23"/>
        <v>63.666666666666664</v>
      </c>
      <c r="H308" t="str">
        <f>IF(Table1[[#This Row],[Percentage]]&gt;=80,"A",IF(Table1[[#This Row],[Percentage]]&gt;=60,"B",IF(Table1[[#This Row],[Percentage]]&gt;=40,"C","F")))</f>
        <v>B</v>
      </c>
      <c r="I308" t="str">
        <f t="shared" si="24"/>
        <v>Pass</v>
      </c>
      <c r="J308" t="str">
        <f t="shared" si="25"/>
        <v>Below Avg</v>
      </c>
      <c r="K308">
        <f>RANK(Table1[[#This Row],[Total]],Table1[Total],0)</f>
        <v>265</v>
      </c>
      <c r="L308" t="str">
        <f t="shared" si="26"/>
        <v>No</v>
      </c>
    </row>
    <row r="309" spans="1:12" x14ac:dyDescent="0.3">
      <c r="A309">
        <v>408</v>
      </c>
      <c r="B309" t="s">
        <v>10</v>
      </c>
      <c r="C309">
        <v>47</v>
      </c>
      <c r="D309">
        <v>54</v>
      </c>
      <c r="E309">
        <v>57</v>
      </c>
      <c r="F309">
        <f t="shared" si="22"/>
        <v>158</v>
      </c>
      <c r="G309">
        <f t="shared" si="23"/>
        <v>52.666666666666664</v>
      </c>
      <c r="H309" t="str">
        <f>IF(Table1[[#This Row],[Percentage]]&gt;=80,"A",IF(Table1[[#This Row],[Percentage]]&gt;=60,"B",IF(Table1[[#This Row],[Percentage]]&gt;=40,"C","F")))</f>
        <v>C</v>
      </c>
      <c r="I309" t="str">
        <f t="shared" si="24"/>
        <v>Pass</v>
      </c>
      <c r="J309" t="str">
        <f t="shared" si="25"/>
        <v>Below Avg</v>
      </c>
      <c r="K309">
        <f>RANK(Table1[[#This Row],[Total]],Table1[Total],0)</f>
        <v>411</v>
      </c>
      <c r="L309" t="str">
        <f t="shared" si="26"/>
        <v>No</v>
      </c>
    </row>
    <row r="310" spans="1:12" x14ac:dyDescent="0.3">
      <c r="A310">
        <v>409</v>
      </c>
      <c r="B310" t="s">
        <v>10</v>
      </c>
      <c r="C310">
        <v>48</v>
      </c>
      <c r="D310">
        <v>33</v>
      </c>
      <c r="E310">
        <v>79</v>
      </c>
      <c r="F310">
        <f t="shared" si="22"/>
        <v>160</v>
      </c>
      <c r="G310">
        <f t="shared" si="23"/>
        <v>53.333333333333336</v>
      </c>
      <c r="H310" t="str">
        <f>IF(Table1[[#This Row],[Percentage]]&gt;=80,"A",IF(Table1[[#This Row],[Percentage]]&gt;=60,"B",IF(Table1[[#This Row],[Percentage]]&gt;=40,"C","F")))</f>
        <v>C</v>
      </c>
      <c r="I310" t="str">
        <f t="shared" si="24"/>
        <v>Pass</v>
      </c>
      <c r="J310" t="str">
        <f t="shared" si="25"/>
        <v>Below Avg</v>
      </c>
      <c r="K310">
        <f>RANK(Table1[[#This Row],[Total]],Table1[Total],0)</f>
        <v>405</v>
      </c>
      <c r="L310" t="str">
        <f t="shared" si="26"/>
        <v>No</v>
      </c>
    </row>
    <row r="311" spans="1:12" x14ac:dyDescent="0.3">
      <c r="A311">
        <v>410</v>
      </c>
      <c r="B311" t="s">
        <v>8</v>
      </c>
      <c r="C311">
        <v>46</v>
      </c>
      <c r="D311">
        <v>46</v>
      </c>
      <c r="E311">
        <v>65</v>
      </c>
      <c r="F311">
        <f t="shared" si="22"/>
        <v>157</v>
      </c>
      <c r="G311">
        <f t="shared" si="23"/>
        <v>52.333333333333336</v>
      </c>
      <c r="H311" t="str">
        <f>IF(Table1[[#This Row],[Percentage]]&gt;=80,"A",IF(Table1[[#This Row],[Percentage]]&gt;=60,"B",IF(Table1[[#This Row],[Percentage]]&gt;=40,"C","F")))</f>
        <v>C</v>
      </c>
      <c r="I311" t="str">
        <f t="shared" si="24"/>
        <v>Pass</v>
      </c>
      <c r="J311" t="str">
        <f t="shared" si="25"/>
        <v>Below Avg</v>
      </c>
      <c r="K311">
        <f>RANK(Table1[[#This Row],[Total]],Table1[Total],0)</f>
        <v>417</v>
      </c>
      <c r="L311" t="str">
        <f t="shared" si="26"/>
        <v>No</v>
      </c>
    </row>
    <row r="312" spans="1:12" x14ac:dyDescent="0.3">
      <c r="A312">
        <v>411</v>
      </c>
      <c r="B312" t="s">
        <v>12</v>
      </c>
      <c r="C312">
        <v>61</v>
      </c>
      <c r="D312">
        <v>70</v>
      </c>
      <c r="E312">
        <v>62</v>
      </c>
      <c r="F312">
        <f t="shared" si="22"/>
        <v>193</v>
      </c>
      <c r="G312">
        <f t="shared" si="23"/>
        <v>64.333333333333329</v>
      </c>
      <c r="H312" t="str">
        <f>IF(Table1[[#This Row],[Percentage]]&gt;=80,"A",IF(Table1[[#This Row],[Percentage]]&gt;=60,"B",IF(Table1[[#This Row],[Percentage]]&gt;=40,"C","F")))</f>
        <v>B</v>
      </c>
      <c r="I312" t="str">
        <f t="shared" si="24"/>
        <v>Pass</v>
      </c>
      <c r="J312" t="str">
        <f t="shared" si="25"/>
        <v>Below Avg</v>
      </c>
      <c r="K312">
        <f>RANK(Table1[[#This Row],[Total]],Table1[Total],0)</f>
        <v>254</v>
      </c>
      <c r="L312" t="str">
        <f t="shared" si="26"/>
        <v>No</v>
      </c>
    </row>
    <row r="313" spans="1:12" x14ac:dyDescent="0.3">
      <c r="A313">
        <v>412</v>
      </c>
      <c r="B313" t="s">
        <v>15</v>
      </c>
      <c r="C313">
        <v>63</v>
      </c>
      <c r="D313">
        <v>55</v>
      </c>
      <c r="E313">
        <v>73</v>
      </c>
      <c r="F313">
        <f t="shared" si="22"/>
        <v>191</v>
      </c>
      <c r="G313">
        <f t="shared" si="23"/>
        <v>63.666666666666664</v>
      </c>
      <c r="H313" t="str">
        <f>IF(Table1[[#This Row],[Percentage]]&gt;=80,"A",IF(Table1[[#This Row],[Percentage]]&gt;=60,"B",IF(Table1[[#This Row],[Percentage]]&gt;=40,"C","F")))</f>
        <v>B</v>
      </c>
      <c r="I313" t="str">
        <f t="shared" si="24"/>
        <v>Pass</v>
      </c>
      <c r="J313" t="str">
        <f t="shared" si="25"/>
        <v>Below Avg</v>
      </c>
      <c r="K313">
        <f>RANK(Table1[[#This Row],[Total]],Table1[Total],0)</f>
        <v>265</v>
      </c>
      <c r="L313" t="str">
        <f t="shared" si="26"/>
        <v>No</v>
      </c>
    </row>
    <row r="314" spans="1:12" x14ac:dyDescent="0.3">
      <c r="A314">
        <v>413</v>
      </c>
      <c r="B314" t="s">
        <v>11</v>
      </c>
      <c r="C314">
        <v>88</v>
      </c>
      <c r="D314">
        <v>36</v>
      </c>
      <c r="E314">
        <v>70</v>
      </c>
      <c r="F314">
        <f t="shared" si="22"/>
        <v>194</v>
      </c>
      <c r="G314">
        <f t="shared" si="23"/>
        <v>64.666666666666671</v>
      </c>
      <c r="H314" t="str">
        <f>IF(Table1[[#This Row],[Percentage]]&gt;=80,"A",IF(Table1[[#This Row],[Percentage]]&gt;=60,"B",IF(Table1[[#This Row],[Percentage]]&gt;=40,"C","F")))</f>
        <v>B</v>
      </c>
      <c r="I314" t="str">
        <f t="shared" si="24"/>
        <v>Pass</v>
      </c>
      <c r="J314" t="str">
        <f t="shared" si="25"/>
        <v>Above Avg</v>
      </c>
      <c r="K314">
        <f>RANK(Table1[[#This Row],[Total]],Table1[Total],0)</f>
        <v>251</v>
      </c>
      <c r="L314" t="str">
        <f t="shared" si="26"/>
        <v>No</v>
      </c>
    </row>
    <row r="315" spans="1:12" x14ac:dyDescent="0.3">
      <c r="A315">
        <v>414</v>
      </c>
      <c r="B315" t="s">
        <v>14</v>
      </c>
      <c r="C315">
        <v>44</v>
      </c>
      <c r="D315">
        <v>87</v>
      </c>
      <c r="E315">
        <v>90</v>
      </c>
      <c r="F315">
        <f t="shared" si="22"/>
        <v>221</v>
      </c>
      <c r="G315">
        <f t="shared" si="23"/>
        <v>73.666666666666671</v>
      </c>
      <c r="H315" t="str">
        <f>IF(Table1[[#This Row],[Percentage]]&gt;=80,"A",IF(Table1[[#This Row],[Percentage]]&gt;=60,"B",IF(Table1[[#This Row],[Percentage]]&gt;=40,"C","F")))</f>
        <v>B</v>
      </c>
      <c r="I315" t="str">
        <f t="shared" si="24"/>
        <v>Pass</v>
      </c>
      <c r="J315" t="str">
        <f t="shared" si="25"/>
        <v>Above Avg</v>
      </c>
      <c r="K315">
        <f>RANK(Table1[[#This Row],[Total]],Table1[Total],0)</f>
        <v>109</v>
      </c>
      <c r="L315" t="str">
        <f t="shared" si="26"/>
        <v>No</v>
      </c>
    </row>
    <row r="316" spans="1:12" x14ac:dyDescent="0.3">
      <c r="A316">
        <v>415</v>
      </c>
      <c r="B316" t="s">
        <v>15</v>
      </c>
      <c r="C316">
        <v>68</v>
      </c>
      <c r="D316">
        <v>56</v>
      </c>
      <c r="E316">
        <v>72</v>
      </c>
      <c r="F316">
        <f t="shared" si="22"/>
        <v>196</v>
      </c>
      <c r="G316">
        <f t="shared" si="23"/>
        <v>65.333333333333329</v>
      </c>
      <c r="H316" t="str">
        <f>IF(Table1[[#This Row],[Percentage]]&gt;=80,"A",IF(Table1[[#This Row],[Percentage]]&gt;=60,"B",IF(Table1[[#This Row],[Percentage]]&gt;=40,"C","F")))</f>
        <v>B</v>
      </c>
      <c r="I316" t="str">
        <f t="shared" si="24"/>
        <v>Pass</v>
      </c>
      <c r="J316" t="str">
        <f t="shared" si="25"/>
        <v>Above Avg</v>
      </c>
      <c r="K316">
        <f>RANK(Table1[[#This Row],[Total]],Table1[Total],0)</f>
        <v>235</v>
      </c>
      <c r="L316" t="str">
        <f t="shared" si="26"/>
        <v>No</v>
      </c>
    </row>
    <row r="317" spans="1:12" x14ac:dyDescent="0.3">
      <c r="A317">
        <v>416</v>
      </c>
      <c r="B317" t="s">
        <v>14</v>
      </c>
      <c r="C317">
        <v>53</v>
      </c>
      <c r="D317">
        <v>41</v>
      </c>
      <c r="E317">
        <v>78</v>
      </c>
      <c r="F317">
        <f t="shared" si="22"/>
        <v>172</v>
      </c>
      <c r="G317">
        <f t="shared" si="23"/>
        <v>57.333333333333336</v>
      </c>
      <c r="H317" t="str">
        <f>IF(Table1[[#This Row],[Percentage]]&gt;=80,"A",IF(Table1[[#This Row],[Percentage]]&gt;=60,"B",IF(Table1[[#This Row],[Percentage]]&gt;=40,"C","F")))</f>
        <v>C</v>
      </c>
      <c r="I317" t="str">
        <f t="shared" si="24"/>
        <v>Pass</v>
      </c>
      <c r="J317" t="str">
        <f t="shared" si="25"/>
        <v>Below Avg</v>
      </c>
      <c r="K317">
        <f>RANK(Table1[[#This Row],[Total]],Table1[Total],0)</f>
        <v>351</v>
      </c>
      <c r="L317" t="str">
        <f t="shared" si="26"/>
        <v>No</v>
      </c>
    </row>
    <row r="318" spans="1:12" x14ac:dyDescent="0.3">
      <c r="A318">
        <v>417</v>
      </c>
      <c r="B318" t="s">
        <v>12</v>
      </c>
      <c r="C318">
        <v>78</v>
      </c>
      <c r="D318">
        <v>73</v>
      </c>
      <c r="E318">
        <v>93</v>
      </c>
      <c r="F318">
        <f t="shared" si="22"/>
        <v>244</v>
      </c>
      <c r="G318">
        <f t="shared" si="23"/>
        <v>81.333333333333329</v>
      </c>
      <c r="H318" t="str">
        <f>IF(Table1[[#This Row],[Percentage]]&gt;=80,"A",IF(Table1[[#This Row],[Percentage]]&gt;=60,"B",IF(Table1[[#This Row],[Percentage]]&gt;=40,"C","F")))</f>
        <v>A</v>
      </c>
      <c r="I318" t="str">
        <f t="shared" si="24"/>
        <v>Pass</v>
      </c>
      <c r="J318" t="str">
        <f t="shared" si="25"/>
        <v>Above Avg</v>
      </c>
      <c r="K318">
        <f>RANK(Table1[[#This Row],[Total]],Table1[Total],0)</f>
        <v>44</v>
      </c>
      <c r="L318" t="str">
        <f t="shared" si="26"/>
        <v>Yes</v>
      </c>
    </row>
    <row r="319" spans="1:12" x14ac:dyDescent="0.3">
      <c r="A319">
        <v>418</v>
      </c>
      <c r="B319" t="s">
        <v>12</v>
      </c>
      <c r="C319">
        <v>48</v>
      </c>
      <c r="D319">
        <v>99</v>
      </c>
      <c r="E319">
        <v>94</v>
      </c>
      <c r="F319">
        <f t="shared" si="22"/>
        <v>241</v>
      </c>
      <c r="G319">
        <f t="shared" si="23"/>
        <v>80.333333333333329</v>
      </c>
      <c r="H319" t="str">
        <f>IF(Table1[[#This Row],[Percentage]]&gt;=80,"A",IF(Table1[[#This Row],[Percentage]]&gt;=60,"B",IF(Table1[[#This Row],[Percentage]]&gt;=40,"C","F")))</f>
        <v>A</v>
      </c>
      <c r="I319" t="str">
        <f t="shared" si="24"/>
        <v>Pass</v>
      </c>
      <c r="J319" t="str">
        <f t="shared" si="25"/>
        <v>Above Avg</v>
      </c>
      <c r="K319">
        <f>RANK(Table1[[#This Row],[Total]],Table1[Total],0)</f>
        <v>48</v>
      </c>
      <c r="L319" t="str">
        <f t="shared" si="26"/>
        <v>Yes</v>
      </c>
    </row>
    <row r="320" spans="1:12" x14ac:dyDescent="0.3">
      <c r="A320">
        <v>419</v>
      </c>
      <c r="B320" t="s">
        <v>14</v>
      </c>
      <c r="C320">
        <v>87</v>
      </c>
      <c r="D320">
        <v>73</v>
      </c>
      <c r="E320">
        <v>89</v>
      </c>
      <c r="F320">
        <f t="shared" si="22"/>
        <v>249</v>
      </c>
      <c r="G320">
        <f t="shared" si="23"/>
        <v>83</v>
      </c>
      <c r="H320" t="str">
        <f>IF(Table1[[#This Row],[Percentage]]&gt;=80,"A",IF(Table1[[#This Row],[Percentage]]&gt;=60,"B",IF(Table1[[#This Row],[Percentage]]&gt;=40,"C","F")))</f>
        <v>A</v>
      </c>
      <c r="I320" t="str">
        <f t="shared" si="24"/>
        <v>Pass</v>
      </c>
      <c r="J320" t="str">
        <f t="shared" si="25"/>
        <v>Above Avg</v>
      </c>
      <c r="K320">
        <f>RANK(Table1[[#This Row],[Total]],Table1[Total],0)</f>
        <v>36</v>
      </c>
      <c r="L320" t="str">
        <f t="shared" si="26"/>
        <v>Yes</v>
      </c>
    </row>
    <row r="321" spans="1:12" x14ac:dyDescent="0.3">
      <c r="A321">
        <v>420</v>
      </c>
      <c r="B321" t="s">
        <v>8</v>
      </c>
      <c r="C321">
        <v>70</v>
      </c>
      <c r="D321">
        <v>59</v>
      </c>
      <c r="E321">
        <v>75</v>
      </c>
      <c r="F321">
        <f t="shared" si="22"/>
        <v>204</v>
      </c>
      <c r="G321">
        <f t="shared" si="23"/>
        <v>68</v>
      </c>
      <c r="H321" t="str">
        <f>IF(Table1[[#This Row],[Percentage]]&gt;=80,"A",IF(Table1[[#This Row],[Percentage]]&gt;=60,"B",IF(Table1[[#This Row],[Percentage]]&gt;=40,"C","F")))</f>
        <v>B</v>
      </c>
      <c r="I321" t="str">
        <f t="shared" si="24"/>
        <v>Pass</v>
      </c>
      <c r="J321" t="str">
        <f t="shared" si="25"/>
        <v>Above Avg</v>
      </c>
      <c r="K321">
        <f>RANK(Table1[[#This Row],[Total]],Table1[Total],0)</f>
        <v>193</v>
      </c>
      <c r="L321" t="str">
        <f t="shared" si="26"/>
        <v>No</v>
      </c>
    </row>
    <row r="322" spans="1:12" x14ac:dyDescent="0.3">
      <c r="A322">
        <v>421</v>
      </c>
      <c r="B322" t="s">
        <v>10</v>
      </c>
      <c r="C322">
        <v>61</v>
      </c>
      <c r="D322">
        <v>79</v>
      </c>
      <c r="E322">
        <v>94</v>
      </c>
      <c r="F322">
        <f t="shared" ref="F322:F385" si="27">SUM(C322:E322)</f>
        <v>234</v>
      </c>
      <c r="G322">
        <f t="shared" ref="G322:G385" si="28">F322/3</f>
        <v>78</v>
      </c>
      <c r="H322" t="str">
        <f>IF(Table1[[#This Row],[Percentage]]&gt;=80,"A",IF(Table1[[#This Row],[Percentage]]&gt;=60,"B",IF(Table1[[#This Row],[Percentage]]&gt;=40,"C","F")))</f>
        <v>B</v>
      </c>
      <c r="I322" t="str">
        <f t="shared" si="24"/>
        <v>Pass</v>
      </c>
      <c r="J322" t="str">
        <f t="shared" si="25"/>
        <v>Above Avg</v>
      </c>
      <c r="K322">
        <f>RANK(Table1[[#This Row],[Total]],Table1[Total],0)</f>
        <v>65</v>
      </c>
      <c r="L322" t="str">
        <f t="shared" si="26"/>
        <v>Yes</v>
      </c>
    </row>
    <row r="323" spans="1:12" x14ac:dyDescent="0.3">
      <c r="A323">
        <v>422</v>
      </c>
      <c r="B323" t="s">
        <v>13</v>
      </c>
      <c r="C323">
        <v>53</v>
      </c>
      <c r="D323">
        <v>63</v>
      </c>
      <c r="E323">
        <v>34</v>
      </c>
      <c r="F323">
        <f t="shared" si="27"/>
        <v>150</v>
      </c>
      <c r="G323">
        <f t="shared" si="28"/>
        <v>50</v>
      </c>
      <c r="H323" t="str">
        <f>IF(Table1[[#This Row],[Percentage]]&gt;=80,"A",IF(Table1[[#This Row],[Percentage]]&gt;=60,"B",IF(Table1[[#This Row],[Percentage]]&gt;=40,"C","F")))</f>
        <v>C</v>
      </c>
      <c r="I323" t="str">
        <f t="shared" ref="I323:I386" si="29">IF(AVERAGE(C323:E323)&gt;=40,"Pass","Fail")</f>
        <v>Pass</v>
      </c>
      <c r="J323" t="str">
        <f t="shared" ref="J323:J386" si="30">IF(G323&gt;AVERAGE($G$2:$G$501),"Above Avg","Below Avg")</f>
        <v>Below Avg</v>
      </c>
      <c r="K323">
        <f>RANK(Table1[[#This Row],[Total]],Table1[Total],0)</f>
        <v>444</v>
      </c>
      <c r="L323" t="str">
        <f t="shared" ref="L323:L386" si="31">IF(G323&gt;=75,"Yes","No")</f>
        <v>No</v>
      </c>
    </row>
    <row r="324" spans="1:12" x14ac:dyDescent="0.3">
      <c r="A324">
        <v>423</v>
      </c>
      <c r="B324" t="s">
        <v>15</v>
      </c>
      <c r="C324">
        <v>89</v>
      </c>
      <c r="D324">
        <v>67</v>
      </c>
      <c r="E324">
        <v>70</v>
      </c>
      <c r="F324">
        <f t="shared" si="27"/>
        <v>226</v>
      </c>
      <c r="G324">
        <f t="shared" si="28"/>
        <v>75.333333333333329</v>
      </c>
      <c r="H324" t="str">
        <f>IF(Table1[[#This Row],[Percentage]]&gt;=80,"A",IF(Table1[[#This Row],[Percentage]]&gt;=60,"B",IF(Table1[[#This Row],[Percentage]]&gt;=40,"C","F")))</f>
        <v>B</v>
      </c>
      <c r="I324" t="str">
        <f t="shared" si="29"/>
        <v>Pass</v>
      </c>
      <c r="J324" t="str">
        <f t="shared" si="30"/>
        <v>Above Avg</v>
      </c>
      <c r="K324">
        <f>RANK(Table1[[#This Row],[Total]],Table1[Total],0)</f>
        <v>89</v>
      </c>
      <c r="L324" t="str">
        <f t="shared" si="31"/>
        <v>Yes</v>
      </c>
    </row>
    <row r="325" spans="1:12" x14ac:dyDescent="0.3">
      <c r="A325">
        <v>424</v>
      </c>
      <c r="B325" t="s">
        <v>14</v>
      </c>
      <c r="C325">
        <v>81</v>
      </c>
      <c r="D325">
        <v>73</v>
      </c>
      <c r="E325">
        <v>77</v>
      </c>
      <c r="F325">
        <f t="shared" si="27"/>
        <v>231</v>
      </c>
      <c r="G325">
        <f t="shared" si="28"/>
        <v>77</v>
      </c>
      <c r="H325" t="str">
        <f>IF(Table1[[#This Row],[Percentage]]&gt;=80,"A",IF(Table1[[#This Row],[Percentage]]&gt;=60,"B",IF(Table1[[#This Row],[Percentage]]&gt;=40,"C","F")))</f>
        <v>B</v>
      </c>
      <c r="I325" t="str">
        <f t="shared" si="29"/>
        <v>Pass</v>
      </c>
      <c r="J325" t="str">
        <f t="shared" si="30"/>
        <v>Above Avg</v>
      </c>
      <c r="K325">
        <f>RANK(Table1[[#This Row],[Total]],Table1[Total],0)</f>
        <v>75</v>
      </c>
      <c r="L325" t="str">
        <f t="shared" si="31"/>
        <v>Yes</v>
      </c>
    </row>
    <row r="326" spans="1:12" x14ac:dyDescent="0.3">
      <c r="A326">
        <v>425</v>
      </c>
      <c r="B326" t="s">
        <v>12</v>
      </c>
      <c r="C326">
        <v>61</v>
      </c>
      <c r="D326">
        <v>66</v>
      </c>
      <c r="E326">
        <v>71</v>
      </c>
      <c r="F326">
        <f t="shared" si="27"/>
        <v>198</v>
      </c>
      <c r="G326">
        <f t="shared" si="28"/>
        <v>66</v>
      </c>
      <c r="H326" t="str">
        <f>IF(Table1[[#This Row],[Percentage]]&gt;=80,"A",IF(Table1[[#This Row],[Percentage]]&gt;=60,"B",IF(Table1[[#This Row],[Percentage]]&gt;=40,"C","F")))</f>
        <v>B</v>
      </c>
      <c r="I326" t="str">
        <f t="shared" si="29"/>
        <v>Pass</v>
      </c>
      <c r="J326" t="str">
        <f t="shared" si="30"/>
        <v>Above Avg</v>
      </c>
      <c r="K326">
        <f>RANK(Table1[[#This Row],[Total]],Table1[Total],0)</f>
        <v>217</v>
      </c>
      <c r="L326" t="str">
        <f t="shared" si="31"/>
        <v>No</v>
      </c>
    </row>
    <row r="327" spans="1:12" x14ac:dyDescent="0.3">
      <c r="A327">
        <v>426</v>
      </c>
      <c r="B327" t="s">
        <v>14</v>
      </c>
      <c r="C327">
        <v>63</v>
      </c>
      <c r="D327">
        <v>41</v>
      </c>
      <c r="E327">
        <v>70</v>
      </c>
      <c r="F327">
        <f t="shared" si="27"/>
        <v>174</v>
      </c>
      <c r="G327">
        <f t="shared" si="28"/>
        <v>58</v>
      </c>
      <c r="H327" t="str">
        <f>IF(Table1[[#This Row],[Percentage]]&gt;=80,"A",IF(Table1[[#This Row],[Percentage]]&gt;=60,"B",IF(Table1[[#This Row],[Percentage]]&gt;=40,"C","F")))</f>
        <v>C</v>
      </c>
      <c r="I327" t="str">
        <f t="shared" si="29"/>
        <v>Pass</v>
      </c>
      <c r="J327" t="str">
        <f t="shared" si="30"/>
        <v>Below Avg</v>
      </c>
      <c r="K327">
        <f>RANK(Table1[[#This Row],[Total]],Table1[Total],0)</f>
        <v>340</v>
      </c>
      <c r="L327" t="str">
        <f t="shared" si="31"/>
        <v>No</v>
      </c>
    </row>
    <row r="328" spans="1:12" x14ac:dyDescent="0.3">
      <c r="A328">
        <v>427</v>
      </c>
      <c r="B328" t="s">
        <v>13</v>
      </c>
      <c r="C328">
        <v>56</v>
      </c>
      <c r="D328">
        <v>83</v>
      </c>
      <c r="E328">
        <v>62</v>
      </c>
      <c r="F328">
        <f t="shared" si="27"/>
        <v>201</v>
      </c>
      <c r="G328">
        <f t="shared" si="28"/>
        <v>67</v>
      </c>
      <c r="H328" t="str">
        <f>IF(Table1[[#This Row],[Percentage]]&gt;=80,"A",IF(Table1[[#This Row],[Percentage]]&gt;=60,"B",IF(Table1[[#This Row],[Percentage]]&gt;=40,"C","F")))</f>
        <v>B</v>
      </c>
      <c r="I328" t="str">
        <f t="shared" si="29"/>
        <v>Pass</v>
      </c>
      <c r="J328" t="str">
        <f t="shared" si="30"/>
        <v>Above Avg</v>
      </c>
      <c r="K328">
        <f>RANK(Table1[[#This Row],[Total]],Table1[Total],0)</f>
        <v>208</v>
      </c>
      <c r="L328" t="str">
        <f t="shared" si="31"/>
        <v>No</v>
      </c>
    </row>
    <row r="329" spans="1:12" x14ac:dyDescent="0.3">
      <c r="A329">
        <v>428</v>
      </c>
      <c r="B329" t="s">
        <v>10</v>
      </c>
      <c r="C329">
        <v>57</v>
      </c>
      <c r="D329">
        <v>61</v>
      </c>
      <c r="E329">
        <v>79</v>
      </c>
      <c r="F329">
        <f t="shared" si="27"/>
        <v>197</v>
      </c>
      <c r="G329">
        <f t="shared" si="28"/>
        <v>65.666666666666671</v>
      </c>
      <c r="H329" t="str">
        <f>IF(Table1[[#This Row],[Percentage]]&gt;=80,"A",IF(Table1[[#This Row],[Percentage]]&gt;=60,"B",IF(Table1[[#This Row],[Percentage]]&gt;=40,"C","F")))</f>
        <v>B</v>
      </c>
      <c r="I329" t="str">
        <f t="shared" si="29"/>
        <v>Pass</v>
      </c>
      <c r="J329" t="str">
        <f t="shared" si="30"/>
        <v>Above Avg</v>
      </c>
      <c r="K329">
        <f>RANK(Table1[[#This Row],[Total]],Table1[Total],0)</f>
        <v>224</v>
      </c>
      <c r="L329" t="str">
        <f t="shared" si="31"/>
        <v>No</v>
      </c>
    </row>
    <row r="330" spans="1:12" x14ac:dyDescent="0.3">
      <c r="A330">
        <v>429</v>
      </c>
      <c r="B330" t="s">
        <v>10</v>
      </c>
      <c r="C330">
        <v>49</v>
      </c>
      <c r="D330">
        <v>33</v>
      </c>
      <c r="E330">
        <v>62</v>
      </c>
      <c r="F330">
        <f t="shared" si="27"/>
        <v>144</v>
      </c>
      <c r="G330">
        <f t="shared" si="28"/>
        <v>48</v>
      </c>
      <c r="H330" t="str">
        <f>IF(Table1[[#This Row],[Percentage]]&gt;=80,"A",IF(Table1[[#This Row],[Percentage]]&gt;=60,"B",IF(Table1[[#This Row],[Percentage]]&gt;=40,"C","F")))</f>
        <v>C</v>
      </c>
      <c r="I330" t="str">
        <f t="shared" si="29"/>
        <v>Pass</v>
      </c>
      <c r="J330" t="str">
        <f t="shared" si="30"/>
        <v>Below Avg</v>
      </c>
      <c r="K330">
        <f>RANK(Table1[[#This Row],[Total]],Table1[Total],0)</f>
        <v>456</v>
      </c>
      <c r="L330" t="str">
        <f t="shared" si="31"/>
        <v>No</v>
      </c>
    </row>
    <row r="331" spans="1:12" x14ac:dyDescent="0.3">
      <c r="A331">
        <v>430</v>
      </c>
      <c r="B331" t="s">
        <v>14</v>
      </c>
      <c r="C331">
        <v>39</v>
      </c>
      <c r="D331">
        <v>70</v>
      </c>
      <c r="E331">
        <v>73</v>
      </c>
      <c r="F331">
        <f t="shared" si="27"/>
        <v>182</v>
      </c>
      <c r="G331">
        <f t="shared" si="28"/>
        <v>60.666666666666664</v>
      </c>
      <c r="H331" t="str">
        <f>IF(Table1[[#This Row],[Percentage]]&gt;=80,"A",IF(Table1[[#This Row],[Percentage]]&gt;=60,"B",IF(Table1[[#This Row],[Percentage]]&gt;=40,"C","F")))</f>
        <v>B</v>
      </c>
      <c r="I331" t="str">
        <f t="shared" si="29"/>
        <v>Pass</v>
      </c>
      <c r="J331" t="str">
        <f t="shared" si="30"/>
        <v>Below Avg</v>
      </c>
      <c r="K331">
        <f>RANK(Table1[[#This Row],[Total]],Table1[Total],0)</f>
        <v>310</v>
      </c>
      <c r="L331" t="str">
        <f t="shared" si="31"/>
        <v>No</v>
      </c>
    </row>
    <row r="332" spans="1:12" x14ac:dyDescent="0.3">
      <c r="A332">
        <v>431</v>
      </c>
      <c r="B332" t="s">
        <v>12</v>
      </c>
      <c r="C332">
        <v>96</v>
      </c>
      <c r="D332">
        <v>96</v>
      </c>
      <c r="E332">
        <v>38</v>
      </c>
      <c r="F332">
        <f t="shared" si="27"/>
        <v>230</v>
      </c>
      <c r="G332">
        <f t="shared" si="28"/>
        <v>76.666666666666671</v>
      </c>
      <c r="H332" t="str">
        <f>IF(Table1[[#This Row],[Percentage]]&gt;=80,"A",IF(Table1[[#This Row],[Percentage]]&gt;=60,"B",IF(Table1[[#This Row],[Percentage]]&gt;=40,"C","F")))</f>
        <v>B</v>
      </c>
      <c r="I332" t="str">
        <f t="shared" si="29"/>
        <v>Pass</v>
      </c>
      <c r="J332" t="str">
        <f t="shared" si="30"/>
        <v>Above Avg</v>
      </c>
      <c r="K332">
        <f>RANK(Table1[[#This Row],[Total]],Table1[Total],0)</f>
        <v>78</v>
      </c>
      <c r="L332" t="str">
        <f t="shared" si="31"/>
        <v>Yes</v>
      </c>
    </row>
    <row r="333" spans="1:12" x14ac:dyDescent="0.3">
      <c r="A333">
        <v>432</v>
      </c>
      <c r="B333" t="s">
        <v>14</v>
      </c>
      <c r="C333">
        <v>85</v>
      </c>
      <c r="D333">
        <v>46</v>
      </c>
      <c r="E333">
        <v>72</v>
      </c>
      <c r="F333">
        <f t="shared" si="27"/>
        <v>203</v>
      </c>
      <c r="G333">
        <f t="shared" si="28"/>
        <v>67.666666666666671</v>
      </c>
      <c r="H333" t="str">
        <f>IF(Table1[[#This Row],[Percentage]]&gt;=80,"A",IF(Table1[[#This Row],[Percentage]]&gt;=60,"B",IF(Table1[[#This Row],[Percentage]]&gt;=40,"C","F")))</f>
        <v>B</v>
      </c>
      <c r="I333" t="str">
        <f t="shared" si="29"/>
        <v>Pass</v>
      </c>
      <c r="J333" t="str">
        <f t="shared" si="30"/>
        <v>Above Avg</v>
      </c>
      <c r="K333">
        <f>RANK(Table1[[#This Row],[Total]],Table1[Total],0)</f>
        <v>195</v>
      </c>
      <c r="L333" t="str">
        <f t="shared" si="31"/>
        <v>No</v>
      </c>
    </row>
    <row r="334" spans="1:12" x14ac:dyDescent="0.3">
      <c r="A334">
        <v>433</v>
      </c>
      <c r="B334" t="s">
        <v>13</v>
      </c>
      <c r="C334">
        <v>54</v>
      </c>
      <c r="D334">
        <v>37</v>
      </c>
      <c r="E334">
        <v>51</v>
      </c>
      <c r="F334">
        <f t="shared" si="27"/>
        <v>142</v>
      </c>
      <c r="G334">
        <f t="shared" si="28"/>
        <v>47.333333333333336</v>
      </c>
      <c r="H334" t="str">
        <f>IF(Table1[[#This Row],[Percentage]]&gt;=80,"A",IF(Table1[[#This Row],[Percentage]]&gt;=60,"B",IF(Table1[[#This Row],[Percentage]]&gt;=40,"C","F")))</f>
        <v>C</v>
      </c>
      <c r="I334" t="str">
        <f t="shared" si="29"/>
        <v>Pass</v>
      </c>
      <c r="J334" t="str">
        <f t="shared" si="30"/>
        <v>Below Avg</v>
      </c>
      <c r="K334">
        <f>RANK(Table1[[#This Row],[Total]],Table1[Total],0)</f>
        <v>462</v>
      </c>
      <c r="L334" t="str">
        <f t="shared" si="31"/>
        <v>No</v>
      </c>
    </row>
    <row r="335" spans="1:12" x14ac:dyDescent="0.3">
      <c r="A335">
        <v>434</v>
      </c>
      <c r="B335" t="s">
        <v>12</v>
      </c>
      <c r="C335">
        <v>56</v>
      </c>
      <c r="D335">
        <v>86</v>
      </c>
      <c r="E335">
        <v>67</v>
      </c>
      <c r="F335">
        <f t="shared" si="27"/>
        <v>209</v>
      </c>
      <c r="G335">
        <f t="shared" si="28"/>
        <v>69.666666666666671</v>
      </c>
      <c r="H335" t="str">
        <f>IF(Table1[[#This Row],[Percentage]]&gt;=80,"A",IF(Table1[[#This Row],[Percentage]]&gt;=60,"B",IF(Table1[[#This Row],[Percentage]]&gt;=40,"C","F")))</f>
        <v>B</v>
      </c>
      <c r="I335" t="str">
        <f t="shared" si="29"/>
        <v>Pass</v>
      </c>
      <c r="J335" t="str">
        <f t="shared" si="30"/>
        <v>Above Avg</v>
      </c>
      <c r="K335">
        <f>RANK(Table1[[#This Row],[Total]],Table1[Total],0)</f>
        <v>164</v>
      </c>
      <c r="L335" t="str">
        <f t="shared" si="31"/>
        <v>No</v>
      </c>
    </row>
    <row r="336" spans="1:12" x14ac:dyDescent="0.3">
      <c r="A336">
        <v>435</v>
      </c>
      <c r="B336" t="s">
        <v>9</v>
      </c>
      <c r="C336">
        <v>38</v>
      </c>
      <c r="D336">
        <v>51</v>
      </c>
      <c r="E336">
        <v>68</v>
      </c>
      <c r="F336">
        <f t="shared" si="27"/>
        <v>157</v>
      </c>
      <c r="G336">
        <f t="shared" si="28"/>
        <v>52.333333333333336</v>
      </c>
      <c r="H336" t="str">
        <f>IF(Table1[[#This Row],[Percentage]]&gt;=80,"A",IF(Table1[[#This Row],[Percentage]]&gt;=60,"B",IF(Table1[[#This Row],[Percentage]]&gt;=40,"C","F")))</f>
        <v>C</v>
      </c>
      <c r="I336" t="str">
        <f t="shared" si="29"/>
        <v>Pass</v>
      </c>
      <c r="J336" t="str">
        <f t="shared" si="30"/>
        <v>Below Avg</v>
      </c>
      <c r="K336">
        <f>RANK(Table1[[#This Row],[Total]],Table1[Total],0)</f>
        <v>417</v>
      </c>
      <c r="L336" t="str">
        <f t="shared" si="31"/>
        <v>No</v>
      </c>
    </row>
    <row r="337" spans="1:12" x14ac:dyDescent="0.3">
      <c r="A337">
        <v>436</v>
      </c>
      <c r="B337" t="s">
        <v>12</v>
      </c>
      <c r="C337">
        <v>32</v>
      </c>
      <c r="D337">
        <v>92</v>
      </c>
      <c r="E337">
        <v>89</v>
      </c>
      <c r="F337">
        <f t="shared" si="27"/>
        <v>213</v>
      </c>
      <c r="G337">
        <f t="shared" si="28"/>
        <v>71</v>
      </c>
      <c r="H337" t="str">
        <f>IF(Table1[[#This Row],[Percentage]]&gt;=80,"A",IF(Table1[[#This Row],[Percentage]]&gt;=60,"B",IF(Table1[[#This Row],[Percentage]]&gt;=40,"C","F")))</f>
        <v>B</v>
      </c>
      <c r="I337" t="str">
        <f t="shared" si="29"/>
        <v>Pass</v>
      </c>
      <c r="J337" t="str">
        <f t="shared" si="30"/>
        <v>Above Avg</v>
      </c>
      <c r="K337">
        <f>RANK(Table1[[#This Row],[Total]],Table1[Total],0)</f>
        <v>144</v>
      </c>
      <c r="L337" t="str">
        <f t="shared" si="31"/>
        <v>No</v>
      </c>
    </row>
    <row r="338" spans="1:12" x14ac:dyDescent="0.3">
      <c r="A338">
        <v>437</v>
      </c>
      <c r="B338" t="s">
        <v>9</v>
      </c>
      <c r="C338">
        <v>57</v>
      </c>
      <c r="D338">
        <v>35</v>
      </c>
      <c r="E338">
        <v>61</v>
      </c>
      <c r="F338">
        <f t="shared" si="27"/>
        <v>153</v>
      </c>
      <c r="G338">
        <f t="shared" si="28"/>
        <v>51</v>
      </c>
      <c r="H338" t="str">
        <f>IF(Table1[[#This Row],[Percentage]]&gt;=80,"A",IF(Table1[[#This Row],[Percentage]]&gt;=60,"B",IF(Table1[[#This Row],[Percentage]]&gt;=40,"C","F")))</f>
        <v>C</v>
      </c>
      <c r="I338" t="str">
        <f t="shared" si="29"/>
        <v>Pass</v>
      </c>
      <c r="J338" t="str">
        <f t="shared" si="30"/>
        <v>Below Avg</v>
      </c>
      <c r="K338">
        <f>RANK(Table1[[#This Row],[Total]],Table1[Total],0)</f>
        <v>433</v>
      </c>
      <c r="L338" t="str">
        <f t="shared" si="31"/>
        <v>No</v>
      </c>
    </row>
    <row r="339" spans="1:12" x14ac:dyDescent="0.3">
      <c r="A339">
        <v>438</v>
      </c>
      <c r="B339" t="s">
        <v>8</v>
      </c>
      <c r="C339">
        <v>77</v>
      </c>
      <c r="D339">
        <v>97</v>
      </c>
      <c r="E339">
        <v>43</v>
      </c>
      <c r="F339">
        <f t="shared" si="27"/>
        <v>217</v>
      </c>
      <c r="G339">
        <f t="shared" si="28"/>
        <v>72.333333333333329</v>
      </c>
      <c r="H339" t="str">
        <f>IF(Table1[[#This Row],[Percentage]]&gt;=80,"A",IF(Table1[[#This Row],[Percentage]]&gt;=60,"B",IF(Table1[[#This Row],[Percentage]]&gt;=40,"C","F")))</f>
        <v>B</v>
      </c>
      <c r="I339" t="str">
        <f t="shared" si="29"/>
        <v>Pass</v>
      </c>
      <c r="J339" t="str">
        <f t="shared" si="30"/>
        <v>Above Avg</v>
      </c>
      <c r="K339">
        <f>RANK(Table1[[#This Row],[Total]],Table1[Total],0)</f>
        <v>125</v>
      </c>
      <c r="L339" t="str">
        <f t="shared" si="31"/>
        <v>No</v>
      </c>
    </row>
    <row r="340" spans="1:12" x14ac:dyDescent="0.3">
      <c r="A340">
        <v>439</v>
      </c>
      <c r="B340" t="s">
        <v>12</v>
      </c>
      <c r="C340">
        <v>52</v>
      </c>
      <c r="D340">
        <v>100</v>
      </c>
      <c r="E340">
        <v>83</v>
      </c>
      <c r="F340">
        <f t="shared" si="27"/>
        <v>235</v>
      </c>
      <c r="G340">
        <f t="shared" si="28"/>
        <v>78.333333333333329</v>
      </c>
      <c r="H340" t="str">
        <f>IF(Table1[[#This Row],[Percentage]]&gt;=80,"A",IF(Table1[[#This Row],[Percentage]]&gt;=60,"B",IF(Table1[[#This Row],[Percentage]]&gt;=40,"C","F")))</f>
        <v>B</v>
      </c>
      <c r="I340" t="str">
        <f t="shared" si="29"/>
        <v>Pass</v>
      </c>
      <c r="J340" t="str">
        <f t="shared" si="30"/>
        <v>Above Avg</v>
      </c>
      <c r="K340">
        <f>RANK(Table1[[#This Row],[Total]],Table1[Total],0)</f>
        <v>62</v>
      </c>
      <c r="L340" t="str">
        <f t="shared" si="31"/>
        <v>Yes</v>
      </c>
    </row>
    <row r="341" spans="1:12" x14ac:dyDescent="0.3">
      <c r="A341">
        <v>440</v>
      </c>
      <c r="B341" t="s">
        <v>13</v>
      </c>
      <c r="C341">
        <v>48</v>
      </c>
      <c r="D341">
        <v>51</v>
      </c>
      <c r="E341">
        <v>65</v>
      </c>
      <c r="F341">
        <f t="shared" si="27"/>
        <v>164</v>
      </c>
      <c r="G341">
        <f t="shared" si="28"/>
        <v>54.666666666666664</v>
      </c>
      <c r="H341" t="str">
        <f>IF(Table1[[#This Row],[Percentage]]&gt;=80,"A",IF(Table1[[#This Row],[Percentage]]&gt;=60,"B",IF(Table1[[#This Row],[Percentage]]&gt;=40,"C","F")))</f>
        <v>C</v>
      </c>
      <c r="I341" t="str">
        <f t="shared" si="29"/>
        <v>Pass</v>
      </c>
      <c r="J341" t="str">
        <f t="shared" si="30"/>
        <v>Below Avg</v>
      </c>
      <c r="K341">
        <f>RANK(Table1[[#This Row],[Total]],Table1[Total],0)</f>
        <v>392</v>
      </c>
      <c r="L341" t="str">
        <f t="shared" si="31"/>
        <v>No</v>
      </c>
    </row>
    <row r="342" spans="1:12" x14ac:dyDescent="0.3">
      <c r="A342">
        <v>441</v>
      </c>
      <c r="B342" t="s">
        <v>10</v>
      </c>
      <c r="C342">
        <v>76</v>
      </c>
      <c r="D342">
        <v>94</v>
      </c>
      <c r="E342">
        <v>39</v>
      </c>
      <c r="F342">
        <f t="shared" si="27"/>
        <v>209</v>
      </c>
      <c r="G342">
        <f t="shared" si="28"/>
        <v>69.666666666666671</v>
      </c>
      <c r="H342" t="str">
        <f>IF(Table1[[#This Row],[Percentage]]&gt;=80,"A",IF(Table1[[#This Row],[Percentage]]&gt;=60,"B",IF(Table1[[#This Row],[Percentage]]&gt;=40,"C","F")))</f>
        <v>B</v>
      </c>
      <c r="I342" t="str">
        <f t="shared" si="29"/>
        <v>Pass</v>
      </c>
      <c r="J342" t="str">
        <f t="shared" si="30"/>
        <v>Above Avg</v>
      </c>
      <c r="K342">
        <f>RANK(Table1[[#This Row],[Total]],Table1[Total],0)</f>
        <v>164</v>
      </c>
      <c r="L342" t="str">
        <f t="shared" si="31"/>
        <v>No</v>
      </c>
    </row>
    <row r="343" spans="1:12" x14ac:dyDescent="0.3">
      <c r="A343">
        <v>442</v>
      </c>
      <c r="B343" t="s">
        <v>9</v>
      </c>
      <c r="C343">
        <v>70</v>
      </c>
      <c r="D343">
        <v>99</v>
      </c>
      <c r="E343">
        <v>85</v>
      </c>
      <c r="F343">
        <f t="shared" si="27"/>
        <v>254</v>
      </c>
      <c r="G343">
        <f t="shared" si="28"/>
        <v>84.666666666666671</v>
      </c>
      <c r="H343" t="str">
        <f>IF(Table1[[#This Row],[Percentage]]&gt;=80,"A",IF(Table1[[#This Row],[Percentage]]&gt;=60,"B",IF(Table1[[#This Row],[Percentage]]&gt;=40,"C","F")))</f>
        <v>A</v>
      </c>
      <c r="I343" t="str">
        <f t="shared" si="29"/>
        <v>Pass</v>
      </c>
      <c r="J343" t="str">
        <f t="shared" si="30"/>
        <v>Above Avg</v>
      </c>
      <c r="K343">
        <f>RANK(Table1[[#This Row],[Total]],Table1[Total],0)</f>
        <v>25</v>
      </c>
      <c r="L343" t="str">
        <f t="shared" si="31"/>
        <v>Yes</v>
      </c>
    </row>
    <row r="344" spans="1:12" x14ac:dyDescent="0.3">
      <c r="A344">
        <v>443</v>
      </c>
      <c r="B344" t="s">
        <v>14</v>
      </c>
      <c r="C344">
        <v>81</v>
      </c>
      <c r="D344">
        <v>53</v>
      </c>
      <c r="E344">
        <v>97</v>
      </c>
      <c r="F344">
        <f t="shared" si="27"/>
        <v>231</v>
      </c>
      <c r="G344">
        <f t="shared" si="28"/>
        <v>77</v>
      </c>
      <c r="H344" t="str">
        <f>IF(Table1[[#This Row],[Percentage]]&gt;=80,"A",IF(Table1[[#This Row],[Percentage]]&gt;=60,"B",IF(Table1[[#This Row],[Percentage]]&gt;=40,"C","F")))</f>
        <v>B</v>
      </c>
      <c r="I344" t="str">
        <f t="shared" si="29"/>
        <v>Pass</v>
      </c>
      <c r="J344" t="str">
        <f t="shared" si="30"/>
        <v>Above Avg</v>
      </c>
      <c r="K344">
        <f>RANK(Table1[[#This Row],[Total]],Table1[Total],0)</f>
        <v>75</v>
      </c>
      <c r="L344" t="str">
        <f t="shared" si="31"/>
        <v>Yes</v>
      </c>
    </row>
    <row r="345" spans="1:12" x14ac:dyDescent="0.3">
      <c r="A345">
        <v>444</v>
      </c>
      <c r="B345" t="s">
        <v>11</v>
      </c>
      <c r="C345">
        <v>69</v>
      </c>
      <c r="D345">
        <v>81</v>
      </c>
      <c r="E345">
        <v>41</v>
      </c>
      <c r="F345">
        <f t="shared" si="27"/>
        <v>191</v>
      </c>
      <c r="G345">
        <f t="shared" si="28"/>
        <v>63.666666666666664</v>
      </c>
      <c r="H345" t="str">
        <f>IF(Table1[[#This Row],[Percentage]]&gt;=80,"A",IF(Table1[[#This Row],[Percentage]]&gt;=60,"B",IF(Table1[[#This Row],[Percentage]]&gt;=40,"C","F")))</f>
        <v>B</v>
      </c>
      <c r="I345" t="str">
        <f t="shared" si="29"/>
        <v>Pass</v>
      </c>
      <c r="J345" t="str">
        <f t="shared" si="30"/>
        <v>Below Avg</v>
      </c>
      <c r="K345">
        <f>RANK(Table1[[#This Row],[Total]],Table1[Total],0)</f>
        <v>265</v>
      </c>
      <c r="L345" t="str">
        <f t="shared" si="31"/>
        <v>No</v>
      </c>
    </row>
    <row r="346" spans="1:12" x14ac:dyDescent="0.3">
      <c r="A346">
        <v>445</v>
      </c>
      <c r="B346" t="s">
        <v>11</v>
      </c>
      <c r="C346">
        <v>96</v>
      </c>
      <c r="D346">
        <v>45</v>
      </c>
      <c r="E346">
        <v>97</v>
      </c>
      <c r="F346">
        <f t="shared" si="27"/>
        <v>238</v>
      </c>
      <c r="G346">
        <f t="shared" si="28"/>
        <v>79.333333333333329</v>
      </c>
      <c r="H346" t="str">
        <f>IF(Table1[[#This Row],[Percentage]]&gt;=80,"A",IF(Table1[[#This Row],[Percentage]]&gt;=60,"B",IF(Table1[[#This Row],[Percentage]]&gt;=40,"C","F")))</f>
        <v>B</v>
      </c>
      <c r="I346" t="str">
        <f t="shared" si="29"/>
        <v>Pass</v>
      </c>
      <c r="J346" t="str">
        <f t="shared" si="30"/>
        <v>Above Avg</v>
      </c>
      <c r="K346">
        <f>RANK(Table1[[#This Row],[Total]],Table1[Total],0)</f>
        <v>53</v>
      </c>
      <c r="L346" t="str">
        <f t="shared" si="31"/>
        <v>Yes</v>
      </c>
    </row>
    <row r="347" spans="1:12" x14ac:dyDescent="0.3">
      <c r="A347">
        <v>446</v>
      </c>
      <c r="B347" t="s">
        <v>11</v>
      </c>
      <c r="C347">
        <v>88</v>
      </c>
      <c r="D347">
        <v>70</v>
      </c>
      <c r="E347">
        <v>36</v>
      </c>
      <c r="F347">
        <f t="shared" si="27"/>
        <v>194</v>
      </c>
      <c r="G347">
        <f t="shared" si="28"/>
        <v>64.666666666666671</v>
      </c>
      <c r="H347" t="str">
        <f>IF(Table1[[#This Row],[Percentage]]&gt;=80,"A",IF(Table1[[#This Row],[Percentage]]&gt;=60,"B",IF(Table1[[#This Row],[Percentage]]&gt;=40,"C","F")))</f>
        <v>B</v>
      </c>
      <c r="I347" t="str">
        <f t="shared" si="29"/>
        <v>Pass</v>
      </c>
      <c r="J347" t="str">
        <f t="shared" si="30"/>
        <v>Above Avg</v>
      </c>
      <c r="K347">
        <f>RANK(Table1[[#This Row],[Total]],Table1[Total],0)</f>
        <v>251</v>
      </c>
      <c r="L347" t="str">
        <f t="shared" si="31"/>
        <v>No</v>
      </c>
    </row>
    <row r="348" spans="1:12" x14ac:dyDescent="0.3">
      <c r="A348">
        <v>447</v>
      </c>
      <c r="B348" t="s">
        <v>12</v>
      </c>
      <c r="C348">
        <v>45</v>
      </c>
      <c r="D348">
        <v>42</v>
      </c>
      <c r="E348">
        <v>39</v>
      </c>
      <c r="F348">
        <f t="shared" si="27"/>
        <v>126</v>
      </c>
      <c r="G348">
        <f t="shared" si="28"/>
        <v>42</v>
      </c>
      <c r="H348" t="str">
        <f>IF(Table1[[#This Row],[Percentage]]&gt;=80,"A",IF(Table1[[#This Row],[Percentage]]&gt;=60,"B",IF(Table1[[#This Row],[Percentage]]&gt;=40,"C","F")))</f>
        <v>C</v>
      </c>
      <c r="I348" t="str">
        <f t="shared" si="29"/>
        <v>Pass</v>
      </c>
      <c r="J348" t="str">
        <f t="shared" si="30"/>
        <v>Below Avg</v>
      </c>
      <c r="K348">
        <f>RANK(Table1[[#This Row],[Total]],Table1[Total],0)</f>
        <v>490</v>
      </c>
      <c r="L348" t="str">
        <f t="shared" si="31"/>
        <v>No</v>
      </c>
    </row>
    <row r="349" spans="1:12" x14ac:dyDescent="0.3">
      <c r="A349">
        <v>448</v>
      </c>
      <c r="B349" t="s">
        <v>8</v>
      </c>
      <c r="C349">
        <v>79</v>
      </c>
      <c r="D349">
        <v>87</v>
      </c>
      <c r="E349">
        <v>93</v>
      </c>
      <c r="F349">
        <f t="shared" si="27"/>
        <v>259</v>
      </c>
      <c r="G349">
        <f t="shared" si="28"/>
        <v>86.333333333333329</v>
      </c>
      <c r="H349" t="str">
        <f>IF(Table1[[#This Row],[Percentage]]&gt;=80,"A",IF(Table1[[#This Row],[Percentage]]&gt;=60,"B",IF(Table1[[#This Row],[Percentage]]&gt;=40,"C","F")))</f>
        <v>A</v>
      </c>
      <c r="I349" t="str">
        <f t="shared" si="29"/>
        <v>Pass</v>
      </c>
      <c r="J349" t="str">
        <f t="shared" si="30"/>
        <v>Above Avg</v>
      </c>
      <c r="K349">
        <f>RANK(Table1[[#This Row],[Total]],Table1[Total],0)</f>
        <v>19</v>
      </c>
      <c r="L349" t="str">
        <f t="shared" si="31"/>
        <v>Yes</v>
      </c>
    </row>
    <row r="350" spans="1:12" x14ac:dyDescent="0.3">
      <c r="A350">
        <v>449</v>
      </c>
      <c r="B350" t="s">
        <v>15</v>
      </c>
      <c r="C350">
        <v>46</v>
      </c>
      <c r="D350">
        <v>41</v>
      </c>
      <c r="E350">
        <v>75</v>
      </c>
      <c r="F350">
        <f t="shared" si="27"/>
        <v>162</v>
      </c>
      <c r="G350">
        <f t="shared" si="28"/>
        <v>54</v>
      </c>
      <c r="H350" t="str">
        <f>IF(Table1[[#This Row],[Percentage]]&gt;=80,"A",IF(Table1[[#This Row],[Percentage]]&gt;=60,"B",IF(Table1[[#This Row],[Percentage]]&gt;=40,"C","F")))</f>
        <v>C</v>
      </c>
      <c r="I350" t="str">
        <f t="shared" si="29"/>
        <v>Pass</v>
      </c>
      <c r="J350" t="str">
        <f t="shared" si="30"/>
        <v>Below Avg</v>
      </c>
      <c r="K350">
        <f>RANK(Table1[[#This Row],[Total]],Table1[Total],0)</f>
        <v>398</v>
      </c>
      <c r="L350" t="str">
        <f t="shared" si="31"/>
        <v>No</v>
      </c>
    </row>
    <row r="351" spans="1:12" x14ac:dyDescent="0.3">
      <c r="A351">
        <v>450</v>
      </c>
      <c r="B351" t="s">
        <v>14</v>
      </c>
      <c r="C351">
        <v>37</v>
      </c>
      <c r="D351">
        <v>66</v>
      </c>
      <c r="E351">
        <v>100</v>
      </c>
      <c r="F351">
        <f t="shared" si="27"/>
        <v>203</v>
      </c>
      <c r="G351">
        <f t="shared" si="28"/>
        <v>67.666666666666671</v>
      </c>
      <c r="H351" t="str">
        <f>IF(Table1[[#This Row],[Percentage]]&gt;=80,"A",IF(Table1[[#This Row],[Percentage]]&gt;=60,"B",IF(Table1[[#This Row],[Percentage]]&gt;=40,"C","F")))</f>
        <v>B</v>
      </c>
      <c r="I351" t="str">
        <f t="shared" si="29"/>
        <v>Pass</v>
      </c>
      <c r="J351" t="str">
        <f t="shared" si="30"/>
        <v>Above Avg</v>
      </c>
      <c r="K351">
        <f>RANK(Table1[[#This Row],[Total]],Table1[Total],0)</f>
        <v>195</v>
      </c>
      <c r="L351" t="str">
        <f t="shared" si="31"/>
        <v>No</v>
      </c>
    </row>
    <row r="352" spans="1:12" x14ac:dyDescent="0.3">
      <c r="A352">
        <v>451</v>
      </c>
      <c r="B352" t="s">
        <v>8</v>
      </c>
      <c r="C352">
        <v>89</v>
      </c>
      <c r="D352">
        <v>86</v>
      </c>
      <c r="E352">
        <v>61</v>
      </c>
      <c r="F352">
        <f t="shared" si="27"/>
        <v>236</v>
      </c>
      <c r="G352">
        <f t="shared" si="28"/>
        <v>78.666666666666671</v>
      </c>
      <c r="H352" t="str">
        <f>IF(Table1[[#This Row],[Percentage]]&gt;=80,"A",IF(Table1[[#This Row],[Percentage]]&gt;=60,"B",IF(Table1[[#This Row],[Percentage]]&gt;=40,"C","F")))</f>
        <v>B</v>
      </c>
      <c r="I352" t="str">
        <f t="shared" si="29"/>
        <v>Pass</v>
      </c>
      <c r="J352" t="str">
        <f t="shared" si="30"/>
        <v>Above Avg</v>
      </c>
      <c r="K352">
        <f>RANK(Table1[[#This Row],[Total]],Table1[Total],0)</f>
        <v>59</v>
      </c>
      <c r="L352" t="str">
        <f t="shared" si="31"/>
        <v>Yes</v>
      </c>
    </row>
    <row r="353" spans="1:12" x14ac:dyDescent="0.3">
      <c r="A353">
        <v>452</v>
      </c>
      <c r="B353" t="s">
        <v>8</v>
      </c>
      <c r="C353">
        <v>53</v>
      </c>
      <c r="D353">
        <v>66</v>
      </c>
      <c r="E353">
        <v>98</v>
      </c>
      <c r="F353">
        <f t="shared" si="27"/>
        <v>217</v>
      </c>
      <c r="G353">
        <f t="shared" si="28"/>
        <v>72.333333333333329</v>
      </c>
      <c r="H353" t="str">
        <f>IF(Table1[[#This Row],[Percentage]]&gt;=80,"A",IF(Table1[[#This Row],[Percentage]]&gt;=60,"B",IF(Table1[[#This Row],[Percentage]]&gt;=40,"C","F")))</f>
        <v>B</v>
      </c>
      <c r="I353" t="str">
        <f t="shared" si="29"/>
        <v>Pass</v>
      </c>
      <c r="J353" t="str">
        <f t="shared" si="30"/>
        <v>Above Avg</v>
      </c>
      <c r="K353">
        <f>RANK(Table1[[#This Row],[Total]],Table1[Total],0)</f>
        <v>125</v>
      </c>
      <c r="L353" t="str">
        <f t="shared" si="31"/>
        <v>No</v>
      </c>
    </row>
    <row r="354" spans="1:12" x14ac:dyDescent="0.3">
      <c r="A354">
        <v>453</v>
      </c>
      <c r="B354" t="s">
        <v>12</v>
      </c>
      <c r="C354">
        <v>96</v>
      </c>
      <c r="D354">
        <v>33</v>
      </c>
      <c r="E354">
        <v>43</v>
      </c>
      <c r="F354">
        <f t="shared" si="27"/>
        <v>172</v>
      </c>
      <c r="G354">
        <f t="shared" si="28"/>
        <v>57.333333333333336</v>
      </c>
      <c r="H354" t="str">
        <f>IF(Table1[[#This Row],[Percentage]]&gt;=80,"A",IF(Table1[[#This Row],[Percentage]]&gt;=60,"B",IF(Table1[[#This Row],[Percentage]]&gt;=40,"C","F")))</f>
        <v>C</v>
      </c>
      <c r="I354" t="str">
        <f t="shared" si="29"/>
        <v>Pass</v>
      </c>
      <c r="J354" t="str">
        <f t="shared" si="30"/>
        <v>Below Avg</v>
      </c>
      <c r="K354">
        <f>RANK(Table1[[#This Row],[Total]],Table1[Total],0)</f>
        <v>351</v>
      </c>
      <c r="L354" t="str">
        <f t="shared" si="31"/>
        <v>No</v>
      </c>
    </row>
    <row r="355" spans="1:12" x14ac:dyDescent="0.3">
      <c r="A355">
        <v>454</v>
      </c>
      <c r="B355" t="s">
        <v>11</v>
      </c>
      <c r="C355">
        <v>36</v>
      </c>
      <c r="D355">
        <v>50</v>
      </c>
      <c r="E355">
        <v>81</v>
      </c>
      <c r="F355">
        <f t="shared" si="27"/>
        <v>167</v>
      </c>
      <c r="G355">
        <f t="shared" si="28"/>
        <v>55.666666666666664</v>
      </c>
      <c r="H355" t="str">
        <f>IF(Table1[[#This Row],[Percentage]]&gt;=80,"A",IF(Table1[[#This Row],[Percentage]]&gt;=60,"B",IF(Table1[[#This Row],[Percentage]]&gt;=40,"C","F")))</f>
        <v>C</v>
      </c>
      <c r="I355" t="str">
        <f t="shared" si="29"/>
        <v>Pass</v>
      </c>
      <c r="J355" t="str">
        <f t="shared" si="30"/>
        <v>Below Avg</v>
      </c>
      <c r="K355">
        <f>RANK(Table1[[#This Row],[Total]],Table1[Total],0)</f>
        <v>378</v>
      </c>
      <c r="L355" t="str">
        <f t="shared" si="31"/>
        <v>No</v>
      </c>
    </row>
    <row r="356" spans="1:12" x14ac:dyDescent="0.3">
      <c r="A356">
        <v>455</v>
      </c>
      <c r="B356" t="s">
        <v>11</v>
      </c>
      <c r="C356">
        <v>54</v>
      </c>
      <c r="D356">
        <v>56</v>
      </c>
      <c r="E356">
        <v>41</v>
      </c>
      <c r="F356">
        <f t="shared" si="27"/>
        <v>151</v>
      </c>
      <c r="G356">
        <f t="shared" si="28"/>
        <v>50.333333333333336</v>
      </c>
      <c r="H356" t="str">
        <f>IF(Table1[[#This Row],[Percentage]]&gt;=80,"A",IF(Table1[[#This Row],[Percentage]]&gt;=60,"B",IF(Table1[[#This Row],[Percentage]]&gt;=40,"C","F")))</f>
        <v>C</v>
      </c>
      <c r="I356" t="str">
        <f t="shared" si="29"/>
        <v>Pass</v>
      </c>
      <c r="J356" t="str">
        <f t="shared" si="30"/>
        <v>Below Avg</v>
      </c>
      <c r="K356">
        <f>RANK(Table1[[#This Row],[Total]],Table1[Total],0)</f>
        <v>443</v>
      </c>
      <c r="L356" t="str">
        <f t="shared" si="31"/>
        <v>No</v>
      </c>
    </row>
    <row r="357" spans="1:12" x14ac:dyDescent="0.3">
      <c r="A357">
        <v>456</v>
      </c>
      <c r="B357" t="s">
        <v>10</v>
      </c>
      <c r="C357">
        <v>81</v>
      </c>
      <c r="D357">
        <v>81</v>
      </c>
      <c r="E357">
        <v>94</v>
      </c>
      <c r="F357">
        <f t="shared" si="27"/>
        <v>256</v>
      </c>
      <c r="G357">
        <f t="shared" si="28"/>
        <v>85.333333333333329</v>
      </c>
      <c r="H357" t="str">
        <f>IF(Table1[[#This Row],[Percentage]]&gt;=80,"A",IF(Table1[[#This Row],[Percentage]]&gt;=60,"B",IF(Table1[[#This Row],[Percentage]]&gt;=40,"C","F")))</f>
        <v>A</v>
      </c>
      <c r="I357" t="str">
        <f t="shared" si="29"/>
        <v>Pass</v>
      </c>
      <c r="J357" t="str">
        <f t="shared" si="30"/>
        <v>Above Avg</v>
      </c>
      <c r="K357">
        <f>RANK(Table1[[#This Row],[Total]],Table1[Total],0)</f>
        <v>21</v>
      </c>
      <c r="L357" t="str">
        <f t="shared" si="31"/>
        <v>Yes</v>
      </c>
    </row>
    <row r="358" spans="1:12" x14ac:dyDescent="0.3">
      <c r="A358">
        <v>457</v>
      </c>
      <c r="B358" t="s">
        <v>8</v>
      </c>
      <c r="C358">
        <v>88</v>
      </c>
      <c r="D358">
        <v>68</v>
      </c>
      <c r="E358">
        <v>64</v>
      </c>
      <c r="F358">
        <f t="shared" si="27"/>
        <v>220</v>
      </c>
      <c r="G358">
        <f t="shared" si="28"/>
        <v>73.333333333333329</v>
      </c>
      <c r="H358" t="str">
        <f>IF(Table1[[#This Row],[Percentage]]&gt;=80,"A",IF(Table1[[#This Row],[Percentage]]&gt;=60,"B",IF(Table1[[#This Row],[Percentage]]&gt;=40,"C","F")))</f>
        <v>B</v>
      </c>
      <c r="I358" t="str">
        <f t="shared" si="29"/>
        <v>Pass</v>
      </c>
      <c r="J358" t="str">
        <f t="shared" si="30"/>
        <v>Above Avg</v>
      </c>
      <c r="K358">
        <f>RANK(Table1[[#This Row],[Total]],Table1[Total],0)</f>
        <v>113</v>
      </c>
      <c r="L358" t="str">
        <f t="shared" si="31"/>
        <v>No</v>
      </c>
    </row>
    <row r="359" spans="1:12" x14ac:dyDescent="0.3">
      <c r="A359">
        <v>458</v>
      </c>
      <c r="B359" t="s">
        <v>15</v>
      </c>
      <c r="C359">
        <v>54</v>
      </c>
      <c r="D359">
        <v>60</v>
      </c>
      <c r="E359">
        <v>31</v>
      </c>
      <c r="F359">
        <f t="shared" si="27"/>
        <v>145</v>
      </c>
      <c r="G359">
        <f t="shared" si="28"/>
        <v>48.333333333333336</v>
      </c>
      <c r="H359" t="str">
        <f>IF(Table1[[#This Row],[Percentage]]&gt;=80,"A",IF(Table1[[#This Row],[Percentage]]&gt;=60,"B",IF(Table1[[#This Row],[Percentage]]&gt;=40,"C","F")))</f>
        <v>C</v>
      </c>
      <c r="I359" t="str">
        <f t="shared" si="29"/>
        <v>Pass</v>
      </c>
      <c r="J359" t="str">
        <f t="shared" si="30"/>
        <v>Below Avg</v>
      </c>
      <c r="K359">
        <f>RANK(Table1[[#This Row],[Total]],Table1[Total],0)</f>
        <v>454</v>
      </c>
      <c r="L359" t="str">
        <f t="shared" si="31"/>
        <v>No</v>
      </c>
    </row>
    <row r="360" spans="1:12" x14ac:dyDescent="0.3">
      <c r="A360">
        <v>459</v>
      </c>
      <c r="B360" t="s">
        <v>12</v>
      </c>
      <c r="C360">
        <v>73</v>
      </c>
      <c r="D360">
        <v>65</v>
      </c>
      <c r="E360">
        <v>54</v>
      </c>
      <c r="F360">
        <f t="shared" si="27"/>
        <v>192</v>
      </c>
      <c r="G360">
        <f t="shared" si="28"/>
        <v>64</v>
      </c>
      <c r="H360" t="str">
        <f>IF(Table1[[#This Row],[Percentage]]&gt;=80,"A",IF(Table1[[#This Row],[Percentage]]&gt;=60,"B",IF(Table1[[#This Row],[Percentage]]&gt;=40,"C","F")))</f>
        <v>B</v>
      </c>
      <c r="I360" t="str">
        <f t="shared" si="29"/>
        <v>Pass</v>
      </c>
      <c r="J360" t="str">
        <f t="shared" si="30"/>
        <v>Below Avg</v>
      </c>
      <c r="K360">
        <f>RANK(Table1[[#This Row],[Total]],Table1[Total],0)</f>
        <v>259</v>
      </c>
      <c r="L360" t="str">
        <f t="shared" si="31"/>
        <v>No</v>
      </c>
    </row>
    <row r="361" spans="1:12" x14ac:dyDescent="0.3">
      <c r="A361">
        <v>460</v>
      </c>
      <c r="B361" t="s">
        <v>9</v>
      </c>
      <c r="C361">
        <v>90</v>
      </c>
      <c r="D361">
        <v>70</v>
      </c>
      <c r="E361">
        <v>43</v>
      </c>
      <c r="F361">
        <f t="shared" si="27"/>
        <v>203</v>
      </c>
      <c r="G361">
        <f t="shared" si="28"/>
        <v>67.666666666666671</v>
      </c>
      <c r="H361" t="str">
        <f>IF(Table1[[#This Row],[Percentage]]&gt;=80,"A",IF(Table1[[#This Row],[Percentage]]&gt;=60,"B",IF(Table1[[#This Row],[Percentage]]&gt;=40,"C","F")))</f>
        <v>B</v>
      </c>
      <c r="I361" t="str">
        <f t="shared" si="29"/>
        <v>Pass</v>
      </c>
      <c r="J361" t="str">
        <f t="shared" si="30"/>
        <v>Above Avg</v>
      </c>
      <c r="K361">
        <f>RANK(Table1[[#This Row],[Total]],Table1[Total],0)</f>
        <v>195</v>
      </c>
      <c r="L361" t="str">
        <f t="shared" si="31"/>
        <v>No</v>
      </c>
    </row>
    <row r="362" spans="1:12" x14ac:dyDescent="0.3">
      <c r="A362">
        <v>461</v>
      </c>
      <c r="B362" t="s">
        <v>13</v>
      </c>
      <c r="C362">
        <v>48</v>
      </c>
      <c r="D362">
        <v>60</v>
      </c>
      <c r="E362">
        <v>99</v>
      </c>
      <c r="F362">
        <f t="shared" si="27"/>
        <v>207</v>
      </c>
      <c r="G362">
        <f t="shared" si="28"/>
        <v>69</v>
      </c>
      <c r="H362" t="str">
        <f>IF(Table1[[#This Row],[Percentage]]&gt;=80,"A",IF(Table1[[#This Row],[Percentage]]&gt;=60,"B",IF(Table1[[#This Row],[Percentage]]&gt;=40,"C","F")))</f>
        <v>B</v>
      </c>
      <c r="I362" t="str">
        <f t="shared" si="29"/>
        <v>Pass</v>
      </c>
      <c r="J362" t="str">
        <f t="shared" si="30"/>
        <v>Above Avg</v>
      </c>
      <c r="K362">
        <f>RANK(Table1[[#This Row],[Total]],Table1[Total],0)</f>
        <v>175</v>
      </c>
      <c r="L362" t="str">
        <f t="shared" si="31"/>
        <v>No</v>
      </c>
    </row>
    <row r="363" spans="1:12" x14ac:dyDescent="0.3">
      <c r="A363">
        <v>462</v>
      </c>
      <c r="B363" t="s">
        <v>11</v>
      </c>
      <c r="C363">
        <v>31</v>
      </c>
      <c r="D363">
        <v>65</v>
      </c>
      <c r="E363">
        <v>82</v>
      </c>
      <c r="F363">
        <f t="shared" si="27"/>
        <v>178</v>
      </c>
      <c r="G363">
        <f t="shared" si="28"/>
        <v>59.333333333333336</v>
      </c>
      <c r="H363" t="str">
        <f>IF(Table1[[#This Row],[Percentage]]&gt;=80,"A",IF(Table1[[#This Row],[Percentage]]&gt;=60,"B",IF(Table1[[#This Row],[Percentage]]&gt;=40,"C","F")))</f>
        <v>C</v>
      </c>
      <c r="I363" t="str">
        <f t="shared" si="29"/>
        <v>Pass</v>
      </c>
      <c r="J363" t="str">
        <f t="shared" si="30"/>
        <v>Below Avg</v>
      </c>
      <c r="K363">
        <f>RANK(Table1[[#This Row],[Total]],Table1[Total],0)</f>
        <v>326</v>
      </c>
      <c r="L363" t="str">
        <f t="shared" si="31"/>
        <v>No</v>
      </c>
    </row>
    <row r="364" spans="1:12" x14ac:dyDescent="0.3">
      <c r="A364">
        <v>463</v>
      </c>
      <c r="B364" t="s">
        <v>14</v>
      </c>
      <c r="C364">
        <v>44</v>
      </c>
      <c r="D364">
        <v>77</v>
      </c>
      <c r="E364">
        <v>85</v>
      </c>
      <c r="F364">
        <f t="shared" si="27"/>
        <v>206</v>
      </c>
      <c r="G364">
        <f t="shared" si="28"/>
        <v>68.666666666666671</v>
      </c>
      <c r="H364" t="str">
        <f>IF(Table1[[#This Row],[Percentage]]&gt;=80,"A",IF(Table1[[#This Row],[Percentage]]&gt;=60,"B",IF(Table1[[#This Row],[Percentage]]&gt;=40,"C","F")))</f>
        <v>B</v>
      </c>
      <c r="I364" t="str">
        <f t="shared" si="29"/>
        <v>Pass</v>
      </c>
      <c r="J364" t="str">
        <f t="shared" si="30"/>
        <v>Above Avg</v>
      </c>
      <c r="K364">
        <f>RANK(Table1[[#This Row],[Total]],Table1[Total],0)</f>
        <v>180</v>
      </c>
      <c r="L364" t="str">
        <f t="shared" si="31"/>
        <v>No</v>
      </c>
    </row>
    <row r="365" spans="1:12" x14ac:dyDescent="0.3">
      <c r="A365">
        <v>464</v>
      </c>
      <c r="B365" t="s">
        <v>10</v>
      </c>
      <c r="C365">
        <v>96</v>
      </c>
      <c r="D365">
        <v>53</v>
      </c>
      <c r="E365">
        <v>77</v>
      </c>
      <c r="F365">
        <f t="shared" si="27"/>
        <v>226</v>
      </c>
      <c r="G365">
        <f t="shared" si="28"/>
        <v>75.333333333333329</v>
      </c>
      <c r="H365" t="str">
        <f>IF(Table1[[#This Row],[Percentage]]&gt;=80,"A",IF(Table1[[#This Row],[Percentage]]&gt;=60,"B",IF(Table1[[#This Row],[Percentage]]&gt;=40,"C","F")))</f>
        <v>B</v>
      </c>
      <c r="I365" t="str">
        <f t="shared" si="29"/>
        <v>Pass</v>
      </c>
      <c r="J365" t="str">
        <f t="shared" si="30"/>
        <v>Above Avg</v>
      </c>
      <c r="K365">
        <f>RANK(Table1[[#This Row],[Total]],Table1[Total],0)</f>
        <v>89</v>
      </c>
      <c r="L365" t="str">
        <f t="shared" si="31"/>
        <v>Yes</v>
      </c>
    </row>
    <row r="366" spans="1:12" x14ac:dyDescent="0.3">
      <c r="A366">
        <v>465</v>
      </c>
      <c r="B366" t="s">
        <v>13</v>
      </c>
      <c r="C366">
        <v>60</v>
      </c>
      <c r="D366">
        <v>77</v>
      </c>
      <c r="E366">
        <v>97</v>
      </c>
      <c r="F366">
        <f t="shared" si="27"/>
        <v>234</v>
      </c>
      <c r="G366">
        <f t="shared" si="28"/>
        <v>78</v>
      </c>
      <c r="H366" t="str">
        <f>IF(Table1[[#This Row],[Percentage]]&gt;=80,"A",IF(Table1[[#This Row],[Percentage]]&gt;=60,"B",IF(Table1[[#This Row],[Percentage]]&gt;=40,"C","F")))</f>
        <v>B</v>
      </c>
      <c r="I366" t="str">
        <f t="shared" si="29"/>
        <v>Pass</v>
      </c>
      <c r="J366" t="str">
        <f t="shared" si="30"/>
        <v>Above Avg</v>
      </c>
      <c r="K366">
        <f>RANK(Table1[[#This Row],[Total]],Table1[Total],0)</f>
        <v>65</v>
      </c>
      <c r="L366" t="str">
        <f t="shared" si="31"/>
        <v>Yes</v>
      </c>
    </row>
    <row r="367" spans="1:12" x14ac:dyDescent="0.3">
      <c r="A367">
        <v>466</v>
      </c>
      <c r="B367" t="s">
        <v>12</v>
      </c>
      <c r="C367">
        <v>36</v>
      </c>
      <c r="D367">
        <v>77</v>
      </c>
      <c r="E367">
        <v>39</v>
      </c>
      <c r="F367">
        <f t="shared" si="27"/>
        <v>152</v>
      </c>
      <c r="G367">
        <f t="shared" si="28"/>
        <v>50.666666666666664</v>
      </c>
      <c r="H367" t="str">
        <f>IF(Table1[[#This Row],[Percentage]]&gt;=80,"A",IF(Table1[[#This Row],[Percentage]]&gt;=60,"B",IF(Table1[[#This Row],[Percentage]]&gt;=40,"C","F")))</f>
        <v>C</v>
      </c>
      <c r="I367" t="str">
        <f t="shared" si="29"/>
        <v>Pass</v>
      </c>
      <c r="J367" t="str">
        <f t="shared" si="30"/>
        <v>Below Avg</v>
      </c>
      <c r="K367">
        <f>RANK(Table1[[#This Row],[Total]],Table1[Total],0)</f>
        <v>440</v>
      </c>
      <c r="L367" t="str">
        <f t="shared" si="31"/>
        <v>No</v>
      </c>
    </row>
    <row r="368" spans="1:12" x14ac:dyDescent="0.3">
      <c r="A368">
        <v>467</v>
      </c>
      <c r="B368" t="s">
        <v>15</v>
      </c>
      <c r="C368">
        <v>56</v>
      </c>
      <c r="D368">
        <v>95</v>
      </c>
      <c r="E368">
        <v>65</v>
      </c>
      <c r="F368">
        <f t="shared" si="27"/>
        <v>216</v>
      </c>
      <c r="G368">
        <f t="shared" si="28"/>
        <v>72</v>
      </c>
      <c r="H368" t="str">
        <f>IF(Table1[[#This Row],[Percentage]]&gt;=80,"A",IF(Table1[[#This Row],[Percentage]]&gt;=60,"B",IF(Table1[[#This Row],[Percentage]]&gt;=40,"C","F")))</f>
        <v>B</v>
      </c>
      <c r="I368" t="str">
        <f t="shared" si="29"/>
        <v>Pass</v>
      </c>
      <c r="J368" t="str">
        <f t="shared" si="30"/>
        <v>Above Avg</v>
      </c>
      <c r="K368">
        <f>RANK(Table1[[#This Row],[Total]],Table1[Total],0)</f>
        <v>130</v>
      </c>
      <c r="L368" t="str">
        <f t="shared" si="31"/>
        <v>No</v>
      </c>
    </row>
    <row r="369" spans="1:12" x14ac:dyDescent="0.3">
      <c r="A369">
        <v>468</v>
      </c>
      <c r="B369" t="s">
        <v>11</v>
      </c>
      <c r="C369">
        <v>72</v>
      </c>
      <c r="D369">
        <v>93</v>
      </c>
      <c r="E369">
        <v>38</v>
      </c>
      <c r="F369">
        <f t="shared" si="27"/>
        <v>203</v>
      </c>
      <c r="G369">
        <f t="shared" si="28"/>
        <v>67.666666666666671</v>
      </c>
      <c r="H369" t="str">
        <f>IF(Table1[[#This Row],[Percentage]]&gt;=80,"A",IF(Table1[[#This Row],[Percentage]]&gt;=60,"B",IF(Table1[[#This Row],[Percentage]]&gt;=40,"C","F")))</f>
        <v>B</v>
      </c>
      <c r="I369" t="str">
        <f t="shared" si="29"/>
        <v>Pass</v>
      </c>
      <c r="J369" t="str">
        <f t="shared" si="30"/>
        <v>Above Avg</v>
      </c>
      <c r="K369">
        <f>RANK(Table1[[#This Row],[Total]],Table1[Total],0)</f>
        <v>195</v>
      </c>
      <c r="L369" t="str">
        <f t="shared" si="31"/>
        <v>No</v>
      </c>
    </row>
    <row r="370" spans="1:12" x14ac:dyDescent="0.3">
      <c r="A370">
        <v>469</v>
      </c>
      <c r="B370" t="s">
        <v>14</v>
      </c>
      <c r="C370">
        <v>100</v>
      </c>
      <c r="D370">
        <v>38</v>
      </c>
      <c r="E370">
        <v>97</v>
      </c>
      <c r="F370">
        <f t="shared" si="27"/>
        <v>235</v>
      </c>
      <c r="G370">
        <f t="shared" si="28"/>
        <v>78.333333333333329</v>
      </c>
      <c r="H370" t="str">
        <f>IF(Table1[[#This Row],[Percentage]]&gt;=80,"A",IF(Table1[[#This Row],[Percentage]]&gt;=60,"B",IF(Table1[[#This Row],[Percentage]]&gt;=40,"C","F")))</f>
        <v>B</v>
      </c>
      <c r="I370" t="str">
        <f t="shared" si="29"/>
        <v>Pass</v>
      </c>
      <c r="J370" t="str">
        <f t="shared" si="30"/>
        <v>Above Avg</v>
      </c>
      <c r="K370">
        <f>RANK(Table1[[#This Row],[Total]],Table1[Total],0)</f>
        <v>62</v>
      </c>
      <c r="L370" t="str">
        <f t="shared" si="31"/>
        <v>Yes</v>
      </c>
    </row>
    <row r="371" spans="1:12" x14ac:dyDescent="0.3">
      <c r="A371">
        <v>470</v>
      </c>
      <c r="B371" t="s">
        <v>13</v>
      </c>
      <c r="C371">
        <v>99</v>
      </c>
      <c r="D371">
        <v>43</v>
      </c>
      <c r="E371">
        <v>70</v>
      </c>
      <c r="F371">
        <f t="shared" si="27"/>
        <v>212</v>
      </c>
      <c r="G371">
        <f t="shared" si="28"/>
        <v>70.666666666666671</v>
      </c>
      <c r="H371" t="str">
        <f>IF(Table1[[#This Row],[Percentage]]&gt;=80,"A",IF(Table1[[#This Row],[Percentage]]&gt;=60,"B",IF(Table1[[#This Row],[Percentage]]&gt;=40,"C","F")))</f>
        <v>B</v>
      </c>
      <c r="I371" t="str">
        <f t="shared" si="29"/>
        <v>Pass</v>
      </c>
      <c r="J371" t="str">
        <f t="shared" si="30"/>
        <v>Above Avg</v>
      </c>
      <c r="K371">
        <f>RANK(Table1[[#This Row],[Total]],Table1[Total],0)</f>
        <v>149</v>
      </c>
      <c r="L371" t="str">
        <f t="shared" si="31"/>
        <v>No</v>
      </c>
    </row>
    <row r="372" spans="1:12" x14ac:dyDescent="0.3">
      <c r="A372">
        <v>471</v>
      </c>
      <c r="B372" t="s">
        <v>14</v>
      </c>
      <c r="C372">
        <v>88</v>
      </c>
      <c r="D372">
        <v>67</v>
      </c>
      <c r="E372">
        <v>74</v>
      </c>
      <c r="F372">
        <f t="shared" si="27"/>
        <v>229</v>
      </c>
      <c r="G372">
        <f t="shared" si="28"/>
        <v>76.333333333333329</v>
      </c>
      <c r="H372" t="str">
        <f>IF(Table1[[#This Row],[Percentage]]&gt;=80,"A",IF(Table1[[#This Row],[Percentage]]&gt;=60,"B",IF(Table1[[#This Row],[Percentage]]&gt;=40,"C","F")))</f>
        <v>B</v>
      </c>
      <c r="I372" t="str">
        <f t="shared" si="29"/>
        <v>Pass</v>
      </c>
      <c r="J372" t="str">
        <f t="shared" si="30"/>
        <v>Above Avg</v>
      </c>
      <c r="K372">
        <f>RANK(Table1[[#This Row],[Total]],Table1[Total],0)</f>
        <v>82</v>
      </c>
      <c r="L372" t="str">
        <f t="shared" si="31"/>
        <v>Yes</v>
      </c>
    </row>
    <row r="373" spans="1:12" x14ac:dyDescent="0.3">
      <c r="A373">
        <v>472</v>
      </c>
      <c r="B373" t="s">
        <v>12</v>
      </c>
      <c r="C373">
        <v>86</v>
      </c>
      <c r="D373">
        <v>39</v>
      </c>
      <c r="E373">
        <v>41</v>
      </c>
      <c r="F373">
        <f t="shared" si="27"/>
        <v>166</v>
      </c>
      <c r="G373">
        <f t="shared" si="28"/>
        <v>55.333333333333336</v>
      </c>
      <c r="H373" t="str">
        <f>IF(Table1[[#This Row],[Percentage]]&gt;=80,"A",IF(Table1[[#This Row],[Percentage]]&gt;=60,"B",IF(Table1[[#This Row],[Percentage]]&gt;=40,"C","F")))</f>
        <v>C</v>
      </c>
      <c r="I373" t="str">
        <f t="shared" si="29"/>
        <v>Pass</v>
      </c>
      <c r="J373" t="str">
        <f t="shared" si="30"/>
        <v>Below Avg</v>
      </c>
      <c r="K373">
        <f>RANK(Table1[[#This Row],[Total]],Table1[Total],0)</f>
        <v>384</v>
      </c>
      <c r="L373" t="str">
        <f t="shared" si="31"/>
        <v>No</v>
      </c>
    </row>
    <row r="374" spans="1:12" x14ac:dyDescent="0.3">
      <c r="A374">
        <v>473</v>
      </c>
      <c r="B374" t="s">
        <v>9</v>
      </c>
      <c r="C374">
        <v>57</v>
      </c>
      <c r="D374">
        <v>62</v>
      </c>
      <c r="E374">
        <v>58</v>
      </c>
      <c r="F374">
        <f t="shared" si="27"/>
        <v>177</v>
      </c>
      <c r="G374">
        <f t="shared" si="28"/>
        <v>59</v>
      </c>
      <c r="H374" t="str">
        <f>IF(Table1[[#This Row],[Percentage]]&gt;=80,"A",IF(Table1[[#This Row],[Percentage]]&gt;=60,"B",IF(Table1[[#This Row],[Percentage]]&gt;=40,"C","F")))</f>
        <v>C</v>
      </c>
      <c r="I374" t="str">
        <f t="shared" si="29"/>
        <v>Pass</v>
      </c>
      <c r="J374" t="str">
        <f t="shared" si="30"/>
        <v>Below Avg</v>
      </c>
      <c r="K374">
        <f>RANK(Table1[[#This Row],[Total]],Table1[Total],0)</f>
        <v>329</v>
      </c>
      <c r="L374" t="str">
        <f t="shared" si="31"/>
        <v>No</v>
      </c>
    </row>
    <row r="375" spans="1:12" x14ac:dyDescent="0.3">
      <c r="A375">
        <v>474</v>
      </c>
      <c r="B375" t="s">
        <v>14</v>
      </c>
      <c r="C375">
        <v>70</v>
      </c>
      <c r="D375">
        <v>33</v>
      </c>
      <c r="E375">
        <v>67</v>
      </c>
      <c r="F375">
        <f t="shared" si="27"/>
        <v>170</v>
      </c>
      <c r="G375">
        <f t="shared" si="28"/>
        <v>56.666666666666664</v>
      </c>
      <c r="H375" t="str">
        <f>IF(Table1[[#This Row],[Percentage]]&gt;=80,"A",IF(Table1[[#This Row],[Percentage]]&gt;=60,"B",IF(Table1[[#This Row],[Percentage]]&gt;=40,"C","F")))</f>
        <v>C</v>
      </c>
      <c r="I375" t="str">
        <f t="shared" si="29"/>
        <v>Pass</v>
      </c>
      <c r="J375" t="str">
        <f t="shared" si="30"/>
        <v>Below Avg</v>
      </c>
      <c r="K375">
        <f>RANK(Table1[[#This Row],[Total]],Table1[Total],0)</f>
        <v>364</v>
      </c>
      <c r="L375" t="str">
        <f t="shared" si="31"/>
        <v>No</v>
      </c>
    </row>
    <row r="376" spans="1:12" x14ac:dyDescent="0.3">
      <c r="A376">
        <v>475</v>
      </c>
      <c r="B376" t="s">
        <v>9</v>
      </c>
      <c r="C376">
        <v>32</v>
      </c>
      <c r="D376">
        <v>92</v>
      </c>
      <c r="E376">
        <v>52</v>
      </c>
      <c r="F376">
        <f t="shared" si="27"/>
        <v>176</v>
      </c>
      <c r="G376">
        <f t="shared" si="28"/>
        <v>58.666666666666664</v>
      </c>
      <c r="H376" t="str">
        <f>IF(Table1[[#This Row],[Percentage]]&gt;=80,"A",IF(Table1[[#This Row],[Percentage]]&gt;=60,"B",IF(Table1[[#This Row],[Percentage]]&gt;=40,"C","F")))</f>
        <v>C</v>
      </c>
      <c r="I376" t="str">
        <f t="shared" si="29"/>
        <v>Pass</v>
      </c>
      <c r="J376" t="str">
        <f t="shared" si="30"/>
        <v>Below Avg</v>
      </c>
      <c r="K376">
        <f>RANK(Table1[[#This Row],[Total]],Table1[Total],0)</f>
        <v>334</v>
      </c>
      <c r="L376" t="str">
        <f t="shared" si="31"/>
        <v>No</v>
      </c>
    </row>
    <row r="377" spans="1:12" x14ac:dyDescent="0.3">
      <c r="A377">
        <v>476</v>
      </c>
      <c r="B377" t="s">
        <v>9</v>
      </c>
      <c r="C377">
        <v>72</v>
      </c>
      <c r="D377">
        <v>33</v>
      </c>
      <c r="E377">
        <v>77</v>
      </c>
      <c r="F377">
        <f t="shared" si="27"/>
        <v>182</v>
      </c>
      <c r="G377">
        <f t="shared" si="28"/>
        <v>60.666666666666664</v>
      </c>
      <c r="H377" t="str">
        <f>IF(Table1[[#This Row],[Percentage]]&gt;=80,"A",IF(Table1[[#This Row],[Percentage]]&gt;=60,"B",IF(Table1[[#This Row],[Percentage]]&gt;=40,"C","F")))</f>
        <v>B</v>
      </c>
      <c r="I377" t="str">
        <f t="shared" si="29"/>
        <v>Pass</v>
      </c>
      <c r="J377" t="str">
        <f t="shared" si="30"/>
        <v>Below Avg</v>
      </c>
      <c r="K377">
        <f>RANK(Table1[[#This Row],[Total]],Table1[Total],0)</f>
        <v>310</v>
      </c>
      <c r="L377" t="str">
        <f t="shared" si="31"/>
        <v>No</v>
      </c>
    </row>
    <row r="378" spans="1:12" x14ac:dyDescent="0.3">
      <c r="A378">
        <v>477</v>
      </c>
      <c r="B378" t="s">
        <v>9</v>
      </c>
      <c r="C378">
        <v>72</v>
      </c>
      <c r="D378">
        <v>94</v>
      </c>
      <c r="E378">
        <v>55</v>
      </c>
      <c r="F378">
        <f t="shared" si="27"/>
        <v>221</v>
      </c>
      <c r="G378">
        <f t="shared" si="28"/>
        <v>73.666666666666671</v>
      </c>
      <c r="H378" t="str">
        <f>IF(Table1[[#This Row],[Percentage]]&gt;=80,"A",IF(Table1[[#This Row],[Percentage]]&gt;=60,"B",IF(Table1[[#This Row],[Percentage]]&gt;=40,"C","F")))</f>
        <v>B</v>
      </c>
      <c r="I378" t="str">
        <f t="shared" si="29"/>
        <v>Pass</v>
      </c>
      <c r="J378" t="str">
        <f t="shared" si="30"/>
        <v>Above Avg</v>
      </c>
      <c r="K378">
        <f>RANK(Table1[[#This Row],[Total]],Table1[Total],0)</f>
        <v>109</v>
      </c>
      <c r="L378" t="str">
        <f t="shared" si="31"/>
        <v>No</v>
      </c>
    </row>
    <row r="379" spans="1:12" x14ac:dyDescent="0.3">
      <c r="A379">
        <v>478</v>
      </c>
      <c r="B379" t="s">
        <v>14</v>
      </c>
      <c r="C379">
        <v>54</v>
      </c>
      <c r="D379">
        <v>76</v>
      </c>
      <c r="E379">
        <v>52</v>
      </c>
      <c r="F379">
        <f t="shared" si="27"/>
        <v>182</v>
      </c>
      <c r="G379">
        <f t="shared" si="28"/>
        <v>60.666666666666664</v>
      </c>
      <c r="H379" t="str">
        <f>IF(Table1[[#This Row],[Percentage]]&gt;=80,"A",IF(Table1[[#This Row],[Percentage]]&gt;=60,"B",IF(Table1[[#This Row],[Percentage]]&gt;=40,"C","F")))</f>
        <v>B</v>
      </c>
      <c r="I379" t="str">
        <f t="shared" si="29"/>
        <v>Pass</v>
      </c>
      <c r="J379" t="str">
        <f t="shared" si="30"/>
        <v>Below Avg</v>
      </c>
      <c r="K379">
        <f>RANK(Table1[[#This Row],[Total]],Table1[Total],0)</f>
        <v>310</v>
      </c>
      <c r="L379" t="str">
        <f t="shared" si="31"/>
        <v>No</v>
      </c>
    </row>
    <row r="380" spans="1:12" x14ac:dyDescent="0.3">
      <c r="A380">
        <v>479</v>
      </c>
      <c r="B380" t="s">
        <v>12</v>
      </c>
      <c r="C380">
        <v>41</v>
      </c>
      <c r="D380">
        <v>51</v>
      </c>
      <c r="E380">
        <v>81</v>
      </c>
      <c r="F380">
        <f t="shared" si="27"/>
        <v>173</v>
      </c>
      <c r="G380">
        <f t="shared" si="28"/>
        <v>57.666666666666664</v>
      </c>
      <c r="H380" t="str">
        <f>IF(Table1[[#This Row],[Percentage]]&gt;=80,"A",IF(Table1[[#This Row],[Percentage]]&gt;=60,"B",IF(Table1[[#This Row],[Percentage]]&gt;=40,"C","F")))</f>
        <v>C</v>
      </c>
      <c r="I380" t="str">
        <f t="shared" si="29"/>
        <v>Pass</v>
      </c>
      <c r="J380" t="str">
        <f t="shared" si="30"/>
        <v>Below Avg</v>
      </c>
      <c r="K380">
        <f>RANK(Table1[[#This Row],[Total]],Table1[Total],0)</f>
        <v>346</v>
      </c>
      <c r="L380" t="str">
        <f t="shared" si="31"/>
        <v>No</v>
      </c>
    </row>
    <row r="381" spans="1:12" x14ac:dyDescent="0.3">
      <c r="A381">
        <v>480</v>
      </c>
      <c r="B381" t="s">
        <v>13</v>
      </c>
      <c r="C381">
        <v>41</v>
      </c>
      <c r="D381">
        <v>90</v>
      </c>
      <c r="E381">
        <v>42</v>
      </c>
      <c r="F381">
        <f t="shared" si="27"/>
        <v>173</v>
      </c>
      <c r="G381">
        <f t="shared" si="28"/>
        <v>57.666666666666664</v>
      </c>
      <c r="H381" t="str">
        <f>IF(Table1[[#This Row],[Percentage]]&gt;=80,"A",IF(Table1[[#This Row],[Percentage]]&gt;=60,"B",IF(Table1[[#This Row],[Percentage]]&gt;=40,"C","F")))</f>
        <v>C</v>
      </c>
      <c r="I381" t="str">
        <f t="shared" si="29"/>
        <v>Pass</v>
      </c>
      <c r="J381" t="str">
        <f t="shared" si="30"/>
        <v>Below Avg</v>
      </c>
      <c r="K381">
        <f>RANK(Table1[[#This Row],[Total]],Table1[Total],0)</f>
        <v>346</v>
      </c>
      <c r="L381" t="str">
        <f t="shared" si="31"/>
        <v>No</v>
      </c>
    </row>
    <row r="382" spans="1:12" x14ac:dyDescent="0.3">
      <c r="A382">
        <v>481</v>
      </c>
      <c r="B382" t="s">
        <v>15</v>
      </c>
      <c r="C382">
        <v>33</v>
      </c>
      <c r="D382">
        <v>57</v>
      </c>
      <c r="E382">
        <v>43</v>
      </c>
      <c r="F382">
        <f t="shared" si="27"/>
        <v>133</v>
      </c>
      <c r="G382">
        <f t="shared" si="28"/>
        <v>44.333333333333336</v>
      </c>
      <c r="H382" t="str">
        <f>IF(Table1[[#This Row],[Percentage]]&gt;=80,"A",IF(Table1[[#This Row],[Percentage]]&gt;=60,"B",IF(Table1[[#This Row],[Percentage]]&gt;=40,"C","F")))</f>
        <v>C</v>
      </c>
      <c r="I382" t="str">
        <f t="shared" si="29"/>
        <v>Pass</v>
      </c>
      <c r="J382" t="str">
        <f t="shared" si="30"/>
        <v>Below Avg</v>
      </c>
      <c r="K382">
        <f>RANK(Table1[[#This Row],[Total]],Table1[Total],0)</f>
        <v>480</v>
      </c>
      <c r="L382" t="str">
        <f t="shared" si="31"/>
        <v>No</v>
      </c>
    </row>
    <row r="383" spans="1:12" x14ac:dyDescent="0.3">
      <c r="A383">
        <v>482</v>
      </c>
      <c r="B383" t="s">
        <v>8</v>
      </c>
      <c r="C383">
        <v>30</v>
      </c>
      <c r="D383">
        <v>32</v>
      </c>
      <c r="E383">
        <v>62</v>
      </c>
      <c r="F383">
        <f t="shared" si="27"/>
        <v>124</v>
      </c>
      <c r="G383">
        <f t="shared" si="28"/>
        <v>41.333333333333336</v>
      </c>
      <c r="H383" t="str">
        <f>IF(Table1[[#This Row],[Percentage]]&gt;=80,"A",IF(Table1[[#This Row],[Percentage]]&gt;=60,"B",IF(Table1[[#This Row],[Percentage]]&gt;=40,"C","F")))</f>
        <v>C</v>
      </c>
      <c r="I383" t="str">
        <f t="shared" si="29"/>
        <v>Pass</v>
      </c>
      <c r="J383" t="str">
        <f t="shared" si="30"/>
        <v>Below Avg</v>
      </c>
      <c r="K383">
        <f>RANK(Table1[[#This Row],[Total]],Table1[Total],0)</f>
        <v>493</v>
      </c>
      <c r="L383" t="str">
        <f t="shared" si="31"/>
        <v>No</v>
      </c>
    </row>
    <row r="384" spans="1:12" x14ac:dyDescent="0.3">
      <c r="A384">
        <v>483</v>
      </c>
      <c r="B384" t="s">
        <v>13</v>
      </c>
      <c r="C384">
        <v>50</v>
      </c>
      <c r="D384">
        <v>63</v>
      </c>
      <c r="E384">
        <v>36</v>
      </c>
      <c r="F384">
        <f t="shared" si="27"/>
        <v>149</v>
      </c>
      <c r="G384">
        <f t="shared" si="28"/>
        <v>49.666666666666664</v>
      </c>
      <c r="H384" t="str">
        <f>IF(Table1[[#This Row],[Percentage]]&gt;=80,"A",IF(Table1[[#This Row],[Percentage]]&gt;=60,"B",IF(Table1[[#This Row],[Percentage]]&gt;=40,"C","F")))</f>
        <v>C</v>
      </c>
      <c r="I384" t="str">
        <f t="shared" si="29"/>
        <v>Pass</v>
      </c>
      <c r="J384" t="str">
        <f t="shared" si="30"/>
        <v>Below Avg</v>
      </c>
      <c r="K384">
        <f>RANK(Table1[[#This Row],[Total]],Table1[Total],0)</f>
        <v>446</v>
      </c>
      <c r="L384" t="str">
        <f t="shared" si="31"/>
        <v>No</v>
      </c>
    </row>
    <row r="385" spans="1:12" x14ac:dyDescent="0.3">
      <c r="A385">
        <v>484</v>
      </c>
      <c r="B385" t="s">
        <v>9</v>
      </c>
      <c r="C385">
        <v>38</v>
      </c>
      <c r="D385">
        <v>55</v>
      </c>
      <c r="E385">
        <v>40</v>
      </c>
      <c r="F385">
        <f t="shared" si="27"/>
        <v>133</v>
      </c>
      <c r="G385">
        <f t="shared" si="28"/>
        <v>44.333333333333336</v>
      </c>
      <c r="H385" t="str">
        <f>IF(Table1[[#This Row],[Percentage]]&gt;=80,"A",IF(Table1[[#This Row],[Percentage]]&gt;=60,"B",IF(Table1[[#This Row],[Percentage]]&gt;=40,"C","F")))</f>
        <v>C</v>
      </c>
      <c r="I385" t="str">
        <f t="shared" si="29"/>
        <v>Pass</v>
      </c>
      <c r="J385" t="str">
        <f t="shared" si="30"/>
        <v>Below Avg</v>
      </c>
      <c r="K385">
        <f>RANK(Table1[[#This Row],[Total]],Table1[Total],0)</f>
        <v>480</v>
      </c>
      <c r="L385" t="str">
        <f t="shared" si="31"/>
        <v>No</v>
      </c>
    </row>
    <row r="386" spans="1:12" x14ac:dyDescent="0.3">
      <c r="A386">
        <v>485</v>
      </c>
      <c r="B386" t="s">
        <v>15</v>
      </c>
      <c r="C386">
        <v>34</v>
      </c>
      <c r="D386">
        <v>96</v>
      </c>
      <c r="E386">
        <v>55</v>
      </c>
      <c r="F386">
        <f t="shared" ref="F386:F449" si="32">SUM(C386:E386)</f>
        <v>185</v>
      </c>
      <c r="G386">
        <f t="shared" ref="G386:G449" si="33">F386/3</f>
        <v>61.666666666666664</v>
      </c>
      <c r="H386" t="str">
        <f>IF(Table1[[#This Row],[Percentage]]&gt;=80,"A",IF(Table1[[#This Row],[Percentage]]&gt;=60,"B",IF(Table1[[#This Row],[Percentage]]&gt;=40,"C","F")))</f>
        <v>B</v>
      </c>
      <c r="I386" t="str">
        <f t="shared" si="29"/>
        <v>Pass</v>
      </c>
      <c r="J386" t="str">
        <f t="shared" si="30"/>
        <v>Below Avg</v>
      </c>
      <c r="K386">
        <f>RANK(Table1[[#This Row],[Total]],Table1[Total],0)</f>
        <v>292</v>
      </c>
      <c r="L386" t="str">
        <f t="shared" si="31"/>
        <v>No</v>
      </c>
    </row>
    <row r="387" spans="1:12" x14ac:dyDescent="0.3">
      <c r="A387">
        <v>486</v>
      </c>
      <c r="B387" t="s">
        <v>11</v>
      </c>
      <c r="C387">
        <v>37</v>
      </c>
      <c r="D387">
        <v>65</v>
      </c>
      <c r="E387">
        <v>69</v>
      </c>
      <c r="F387">
        <f t="shared" si="32"/>
        <v>171</v>
      </c>
      <c r="G387">
        <f t="shared" si="33"/>
        <v>57</v>
      </c>
      <c r="H387" t="str">
        <f>IF(Table1[[#This Row],[Percentage]]&gt;=80,"A",IF(Table1[[#This Row],[Percentage]]&gt;=60,"B",IF(Table1[[#This Row],[Percentage]]&gt;=40,"C","F")))</f>
        <v>C</v>
      </c>
      <c r="I387" t="str">
        <f t="shared" ref="I387:I450" si="34">IF(AVERAGE(C387:E387)&gt;=40,"Pass","Fail")</f>
        <v>Pass</v>
      </c>
      <c r="J387" t="str">
        <f t="shared" ref="J387:J450" si="35">IF(G387&gt;AVERAGE($G$2:$G$501),"Above Avg","Below Avg")</f>
        <v>Below Avg</v>
      </c>
      <c r="K387">
        <f>RANK(Table1[[#This Row],[Total]],Table1[Total],0)</f>
        <v>360</v>
      </c>
      <c r="L387" t="str">
        <f t="shared" ref="L387:L450" si="36">IF(G387&gt;=75,"Yes","No")</f>
        <v>No</v>
      </c>
    </row>
    <row r="388" spans="1:12" x14ac:dyDescent="0.3">
      <c r="A388">
        <v>487</v>
      </c>
      <c r="B388" t="s">
        <v>10</v>
      </c>
      <c r="C388">
        <v>42</v>
      </c>
      <c r="D388">
        <v>76</v>
      </c>
      <c r="E388">
        <v>49</v>
      </c>
      <c r="F388">
        <f t="shared" si="32"/>
        <v>167</v>
      </c>
      <c r="G388">
        <f t="shared" si="33"/>
        <v>55.666666666666664</v>
      </c>
      <c r="H388" t="str">
        <f>IF(Table1[[#This Row],[Percentage]]&gt;=80,"A",IF(Table1[[#This Row],[Percentage]]&gt;=60,"B",IF(Table1[[#This Row],[Percentage]]&gt;=40,"C","F")))</f>
        <v>C</v>
      </c>
      <c r="I388" t="str">
        <f t="shared" si="34"/>
        <v>Pass</v>
      </c>
      <c r="J388" t="str">
        <f t="shared" si="35"/>
        <v>Below Avg</v>
      </c>
      <c r="K388">
        <f>RANK(Table1[[#This Row],[Total]],Table1[Total],0)</f>
        <v>378</v>
      </c>
      <c r="L388" t="str">
        <f t="shared" si="36"/>
        <v>No</v>
      </c>
    </row>
    <row r="389" spans="1:12" x14ac:dyDescent="0.3">
      <c r="A389">
        <v>488</v>
      </c>
      <c r="B389" t="s">
        <v>9</v>
      </c>
      <c r="C389">
        <v>33</v>
      </c>
      <c r="D389">
        <v>57</v>
      </c>
      <c r="E389">
        <v>41</v>
      </c>
      <c r="F389">
        <f t="shared" si="32"/>
        <v>131</v>
      </c>
      <c r="G389">
        <f t="shared" si="33"/>
        <v>43.666666666666664</v>
      </c>
      <c r="H389" t="str">
        <f>IF(Table1[[#This Row],[Percentage]]&gt;=80,"A",IF(Table1[[#This Row],[Percentage]]&gt;=60,"B",IF(Table1[[#This Row],[Percentage]]&gt;=40,"C","F")))</f>
        <v>C</v>
      </c>
      <c r="I389" t="str">
        <f t="shared" si="34"/>
        <v>Pass</v>
      </c>
      <c r="J389" t="str">
        <f t="shared" si="35"/>
        <v>Below Avg</v>
      </c>
      <c r="K389">
        <f>RANK(Table1[[#This Row],[Total]],Table1[Total],0)</f>
        <v>486</v>
      </c>
      <c r="L389" t="str">
        <f t="shared" si="36"/>
        <v>No</v>
      </c>
    </row>
    <row r="390" spans="1:12" x14ac:dyDescent="0.3">
      <c r="A390">
        <v>489</v>
      </c>
      <c r="B390" t="s">
        <v>13</v>
      </c>
      <c r="C390">
        <v>34</v>
      </c>
      <c r="D390">
        <v>72</v>
      </c>
      <c r="E390">
        <v>66</v>
      </c>
      <c r="F390">
        <f t="shared" si="32"/>
        <v>172</v>
      </c>
      <c r="G390">
        <f t="shared" si="33"/>
        <v>57.333333333333336</v>
      </c>
      <c r="H390" t="str">
        <f>IF(Table1[[#This Row],[Percentage]]&gt;=80,"A",IF(Table1[[#This Row],[Percentage]]&gt;=60,"B",IF(Table1[[#This Row],[Percentage]]&gt;=40,"C","F")))</f>
        <v>C</v>
      </c>
      <c r="I390" t="str">
        <f t="shared" si="34"/>
        <v>Pass</v>
      </c>
      <c r="J390" t="str">
        <f t="shared" si="35"/>
        <v>Below Avg</v>
      </c>
      <c r="K390">
        <f>RANK(Table1[[#This Row],[Total]],Table1[Total],0)</f>
        <v>351</v>
      </c>
      <c r="L390" t="str">
        <f t="shared" si="36"/>
        <v>No</v>
      </c>
    </row>
    <row r="391" spans="1:12" x14ac:dyDescent="0.3">
      <c r="A391">
        <v>490</v>
      </c>
      <c r="B391" t="s">
        <v>14</v>
      </c>
      <c r="C391">
        <v>47</v>
      </c>
      <c r="D391">
        <v>51</v>
      </c>
      <c r="E391">
        <v>45</v>
      </c>
      <c r="F391">
        <f t="shared" si="32"/>
        <v>143</v>
      </c>
      <c r="G391">
        <f t="shared" si="33"/>
        <v>47.666666666666664</v>
      </c>
      <c r="H391" t="str">
        <f>IF(Table1[[#This Row],[Percentage]]&gt;=80,"A",IF(Table1[[#This Row],[Percentage]]&gt;=60,"B",IF(Table1[[#This Row],[Percentage]]&gt;=40,"C","F")))</f>
        <v>C</v>
      </c>
      <c r="I391" t="str">
        <f t="shared" si="34"/>
        <v>Pass</v>
      </c>
      <c r="J391" t="str">
        <f t="shared" si="35"/>
        <v>Below Avg</v>
      </c>
      <c r="K391">
        <f>RANK(Table1[[#This Row],[Total]],Table1[Total],0)</f>
        <v>458</v>
      </c>
      <c r="L391" t="str">
        <f t="shared" si="36"/>
        <v>No</v>
      </c>
    </row>
    <row r="392" spans="1:12" x14ac:dyDescent="0.3">
      <c r="A392">
        <v>491</v>
      </c>
      <c r="B392" t="s">
        <v>10</v>
      </c>
      <c r="C392">
        <v>42</v>
      </c>
      <c r="D392">
        <v>69</v>
      </c>
      <c r="E392">
        <v>35</v>
      </c>
      <c r="F392">
        <f t="shared" si="32"/>
        <v>146</v>
      </c>
      <c r="G392">
        <f t="shared" si="33"/>
        <v>48.666666666666664</v>
      </c>
      <c r="H392" t="str">
        <f>IF(Table1[[#This Row],[Percentage]]&gt;=80,"A",IF(Table1[[#This Row],[Percentage]]&gt;=60,"B",IF(Table1[[#This Row],[Percentage]]&gt;=40,"C","F")))</f>
        <v>C</v>
      </c>
      <c r="I392" t="str">
        <f t="shared" si="34"/>
        <v>Pass</v>
      </c>
      <c r="J392" t="str">
        <f t="shared" si="35"/>
        <v>Below Avg</v>
      </c>
      <c r="K392">
        <f>RANK(Table1[[#This Row],[Total]],Table1[Total],0)</f>
        <v>452</v>
      </c>
      <c r="L392" t="str">
        <f t="shared" si="36"/>
        <v>No</v>
      </c>
    </row>
    <row r="393" spans="1:12" x14ac:dyDescent="0.3">
      <c r="A393">
        <v>492</v>
      </c>
      <c r="B393" t="s">
        <v>14</v>
      </c>
      <c r="C393">
        <v>41</v>
      </c>
      <c r="D393">
        <v>91</v>
      </c>
      <c r="E393">
        <v>33</v>
      </c>
      <c r="F393">
        <f t="shared" si="32"/>
        <v>165</v>
      </c>
      <c r="G393">
        <f t="shared" si="33"/>
        <v>55</v>
      </c>
      <c r="H393" t="str">
        <f>IF(Table1[[#This Row],[Percentage]]&gt;=80,"A",IF(Table1[[#This Row],[Percentage]]&gt;=60,"B",IF(Table1[[#This Row],[Percentage]]&gt;=40,"C","F")))</f>
        <v>C</v>
      </c>
      <c r="I393" t="str">
        <f t="shared" si="34"/>
        <v>Pass</v>
      </c>
      <c r="J393" t="str">
        <f t="shared" si="35"/>
        <v>Below Avg</v>
      </c>
      <c r="K393">
        <f>RANK(Table1[[#This Row],[Total]],Table1[Total],0)</f>
        <v>389</v>
      </c>
      <c r="L393" t="str">
        <f t="shared" si="36"/>
        <v>No</v>
      </c>
    </row>
    <row r="394" spans="1:12" x14ac:dyDescent="0.3">
      <c r="A394">
        <v>493</v>
      </c>
      <c r="B394" t="s">
        <v>8</v>
      </c>
      <c r="C394">
        <v>73</v>
      </c>
      <c r="D394">
        <v>46</v>
      </c>
      <c r="E394">
        <v>90</v>
      </c>
      <c r="F394">
        <f t="shared" si="32"/>
        <v>209</v>
      </c>
      <c r="G394">
        <f t="shared" si="33"/>
        <v>69.666666666666671</v>
      </c>
      <c r="H394" t="str">
        <f>IF(Table1[[#This Row],[Percentage]]&gt;=80,"A",IF(Table1[[#This Row],[Percentage]]&gt;=60,"B",IF(Table1[[#This Row],[Percentage]]&gt;=40,"C","F")))</f>
        <v>B</v>
      </c>
      <c r="I394" t="str">
        <f t="shared" si="34"/>
        <v>Pass</v>
      </c>
      <c r="J394" t="str">
        <f t="shared" si="35"/>
        <v>Above Avg</v>
      </c>
      <c r="K394">
        <f>RANK(Table1[[#This Row],[Total]],Table1[Total],0)</f>
        <v>164</v>
      </c>
      <c r="L394" t="str">
        <f t="shared" si="36"/>
        <v>No</v>
      </c>
    </row>
    <row r="395" spans="1:12" x14ac:dyDescent="0.3">
      <c r="A395">
        <v>494</v>
      </c>
      <c r="B395" t="s">
        <v>14</v>
      </c>
      <c r="C395">
        <v>98</v>
      </c>
      <c r="D395">
        <v>56</v>
      </c>
      <c r="E395">
        <v>37</v>
      </c>
      <c r="F395">
        <f t="shared" si="32"/>
        <v>191</v>
      </c>
      <c r="G395">
        <f t="shared" si="33"/>
        <v>63.666666666666664</v>
      </c>
      <c r="H395" t="str">
        <f>IF(Table1[[#This Row],[Percentage]]&gt;=80,"A",IF(Table1[[#This Row],[Percentage]]&gt;=60,"B",IF(Table1[[#This Row],[Percentage]]&gt;=40,"C","F")))</f>
        <v>B</v>
      </c>
      <c r="I395" t="str">
        <f t="shared" si="34"/>
        <v>Pass</v>
      </c>
      <c r="J395" t="str">
        <f t="shared" si="35"/>
        <v>Below Avg</v>
      </c>
      <c r="K395">
        <f>RANK(Table1[[#This Row],[Total]],Table1[Total],0)</f>
        <v>265</v>
      </c>
      <c r="L395" t="str">
        <f t="shared" si="36"/>
        <v>No</v>
      </c>
    </row>
    <row r="396" spans="1:12" x14ac:dyDescent="0.3">
      <c r="A396">
        <v>495</v>
      </c>
      <c r="B396" t="s">
        <v>15</v>
      </c>
      <c r="C396">
        <v>66</v>
      </c>
      <c r="D396">
        <v>78</v>
      </c>
      <c r="E396">
        <v>84</v>
      </c>
      <c r="F396">
        <f t="shared" si="32"/>
        <v>228</v>
      </c>
      <c r="G396">
        <f t="shared" si="33"/>
        <v>76</v>
      </c>
      <c r="H396" t="str">
        <f>IF(Table1[[#This Row],[Percentage]]&gt;=80,"A",IF(Table1[[#This Row],[Percentage]]&gt;=60,"B",IF(Table1[[#This Row],[Percentage]]&gt;=40,"C","F")))</f>
        <v>B</v>
      </c>
      <c r="I396" t="str">
        <f t="shared" si="34"/>
        <v>Pass</v>
      </c>
      <c r="J396" t="str">
        <f t="shared" si="35"/>
        <v>Above Avg</v>
      </c>
      <c r="K396">
        <f>RANK(Table1[[#This Row],[Total]],Table1[Total],0)</f>
        <v>84</v>
      </c>
      <c r="L396" t="str">
        <f t="shared" si="36"/>
        <v>Yes</v>
      </c>
    </row>
    <row r="397" spans="1:12" x14ac:dyDescent="0.3">
      <c r="A397">
        <v>496</v>
      </c>
      <c r="B397" t="s">
        <v>10</v>
      </c>
      <c r="C397">
        <v>68</v>
      </c>
      <c r="D397">
        <v>87</v>
      </c>
      <c r="E397">
        <v>53</v>
      </c>
      <c r="F397">
        <f t="shared" si="32"/>
        <v>208</v>
      </c>
      <c r="G397">
        <f t="shared" si="33"/>
        <v>69.333333333333329</v>
      </c>
      <c r="H397" t="str">
        <f>IF(Table1[[#This Row],[Percentage]]&gt;=80,"A",IF(Table1[[#This Row],[Percentage]]&gt;=60,"B",IF(Table1[[#This Row],[Percentage]]&gt;=40,"C","F")))</f>
        <v>B</v>
      </c>
      <c r="I397" t="str">
        <f t="shared" si="34"/>
        <v>Pass</v>
      </c>
      <c r="J397" t="str">
        <f t="shared" si="35"/>
        <v>Above Avg</v>
      </c>
      <c r="K397">
        <f>RANK(Table1[[#This Row],[Total]],Table1[Total],0)</f>
        <v>172</v>
      </c>
      <c r="L397" t="str">
        <f t="shared" si="36"/>
        <v>No</v>
      </c>
    </row>
    <row r="398" spans="1:12" x14ac:dyDescent="0.3">
      <c r="A398">
        <v>497</v>
      </c>
      <c r="B398" t="s">
        <v>11</v>
      </c>
      <c r="C398">
        <v>33</v>
      </c>
      <c r="D398">
        <v>76</v>
      </c>
      <c r="E398">
        <v>32</v>
      </c>
      <c r="F398">
        <f t="shared" si="32"/>
        <v>141</v>
      </c>
      <c r="G398">
        <f t="shared" si="33"/>
        <v>47</v>
      </c>
      <c r="H398" t="str">
        <f>IF(Table1[[#This Row],[Percentage]]&gt;=80,"A",IF(Table1[[#This Row],[Percentage]]&gt;=60,"B",IF(Table1[[#This Row],[Percentage]]&gt;=40,"C","F")))</f>
        <v>C</v>
      </c>
      <c r="I398" t="str">
        <f t="shared" si="34"/>
        <v>Pass</v>
      </c>
      <c r="J398" t="str">
        <f t="shared" si="35"/>
        <v>Below Avg</v>
      </c>
      <c r="K398">
        <f>RANK(Table1[[#This Row],[Total]],Table1[Total],0)</f>
        <v>465</v>
      </c>
      <c r="L398" t="str">
        <f t="shared" si="36"/>
        <v>No</v>
      </c>
    </row>
    <row r="399" spans="1:12" x14ac:dyDescent="0.3">
      <c r="A399">
        <v>498</v>
      </c>
      <c r="B399" t="s">
        <v>15</v>
      </c>
      <c r="C399">
        <v>62</v>
      </c>
      <c r="D399">
        <v>92</v>
      </c>
      <c r="E399">
        <v>95</v>
      </c>
      <c r="F399">
        <f t="shared" si="32"/>
        <v>249</v>
      </c>
      <c r="G399">
        <f t="shared" si="33"/>
        <v>83</v>
      </c>
      <c r="H399" t="str">
        <f>IF(Table1[[#This Row],[Percentage]]&gt;=80,"A",IF(Table1[[#This Row],[Percentage]]&gt;=60,"B",IF(Table1[[#This Row],[Percentage]]&gt;=40,"C","F")))</f>
        <v>A</v>
      </c>
      <c r="I399" t="str">
        <f t="shared" si="34"/>
        <v>Pass</v>
      </c>
      <c r="J399" t="str">
        <f t="shared" si="35"/>
        <v>Above Avg</v>
      </c>
      <c r="K399">
        <f>RANK(Table1[[#This Row],[Total]],Table1[Total],0)</f>
        <v>36</v>
      </c>
      <c r="L399" t="str">
        <f t="shared" si="36"/>
        <v>Yes</v>
      </c>
    </row>
    <row r="400" spans="1:12" x14ac:dyDescent="0.3">
      <c r="A400">
        <v>499</v>
      </c>
      <c r="B400" t="s">
        <v>11</v>
      </c>
      <c r="C400">
        <v>46</v>
      </c>
      <c r="D400">
        <v>51</v>
      </c>
      <c r="E400">
        <v>64</v>
      </c>
      <c r="F400">
        <f t="shared" si="32"/>
        <v>161</v>
      </c>
      <c r="G400">
        <f t="shared" si="33"/>
        <v>53.666666666666664</v>
      </c>
      <c r="H400" t="str">
        <f>IF(Table1[[#This Row],[Percentage]]&gt;=80,"A",IF(Table1[[#This Row],[Percentage]]&gt;=60,"B",IF(Table1[[#This Row],[Percentage]]&gt;=40,"C","F")))</f>
        <v>C</v>
      </c>
      <c r="I400" t="str">
        <f t="shared" si="34"/>
        <v>Pass</v>
      </c>
      <c r="J400" t="str">
        <f t="shared" si="35"/>
        <v>Below Avg</v>
      </c>
      <c r="K400">
        <f>RANK(Table1[[#This Row],[Total]],Table1[Total],0)</f>
        <v>403</v>
      </c>
      <c r="L400" t="str">
        <f t="shared" si="36"/>
        <v>No</v>
      </c>
    </row>
    <row r="401" spans="1:12" x14ac:dyDescent="0.3">
      <c r="A401">
        <v>500</v>
      </c>
      <c r="B401" t="s">
        <v>8</v>
      </c>
      <c r="C401">
        <v>74</v>
      </c>
      <c r="D401">
        <v>95</v>
      </c>
      <c r="E401">
        <v>50</v>
      </c>
      <c r="F401">
        <f t="shared" si="32"/>
        <v>219</v>
      </c>
      <c r="G401">
        <f t="shared" si="33"/>
        <v>73</v>
      </c>
      <c r="H401" t="str">
        <f>IF(Table1[[#This Row],[Percentage]]&gt;=80,"A",IF(Table1[[#This Row],[Percentage]]&gt;=60,"B",IF(Table1[[#This Row],[Percentage]]&gt;=40,"C","F")))</f>
        <v>B</v>
      </c>
      <c r="I401" t="str">
        <f t="shared" si="34"/>
        <v>Pass</v>
      </c>
      <c r="J401" t="str">
        <f t="shared" si="35"/>
        <v>Above Avg</v>
      </c>
      <c r="K401">
        <f>RANK(Table1[[#This Row],[Total]],Table1[Total],0)</f>
        <v>115</v>
      </c>
      <c r="L401" t="str">
        <f t="shared" si="36"/>
        <v>No</v>
      </c>
    </row>
    <row r="402" spans="1:12" x14ac:dyDescent="0.3">
      <c r="A402">
        <v>501</v>
      </c>
      <c r="B402" t="s">
        <v>12</v>
      </c>
      <c r="C402">
        <v>52</v>
      </c>
      <c r="D402">
        <v>90</v>
      </c>
      <c r="E402">
        <v>83</v>
      </c>
      <c r="F402">
        <f t="shared" si="32"/>
        <v>225</v>
      </c>
      <c r="G402">
        <f t="shared" si="33"/>
        <v>75</v>
      </c>
      <c r="H402" t="str">
        <f>IF(Table1[[#This Row],[Percentage]]&gt;=80,"A",IF(Table1[[#This Row],[Percentage]]&gt;=60,"B",IF(Table1[[#This Row],[Percentage]]&gt;=40,"C","F")))</f>
        <v>B</v>
      </c>
      <c r="I402" t="str">
        <f t="shared" si="34"/>
        <v>Pass</v>
      </c>
      <c r="J402" t="str">
        <f t="shared" si="35"/>
        <v>Above Avg</v>
      </c>
      <c r="K402">
        <f>RANK(Table1[[#This Row],[Total]],Table1[Total],0)</f>
        <v>94</v>
      </c>
      <c r="L402" t="str">
        <f t="shared" si="36"/>
        <v>Yes</v>
      </c>
    </row>
    <row r="403" spans="1:12" x14ac:dyDescent="0.3">
      <c r="A403">
        <v>502</v>
      </c>
      <c r="B403" t="s">
        <v>10</v>
      </c>
      <c r="C403">
        <v>47</v>
      </c>
      <c r="D403">
        <v>59</v>
      </c>
      <c r="E403">
        <v>58</v>
      </c>
      <c r="F403">
        <f t="shared" si="32"/>
        <v>164</v>
      </c>
      <c r="G403">
        <f t="shared" si="33"/>
        <v>54.666666666666664</v>
      </c>
      <c r="H403" t="str">
        <f>IF(Table1[[#This Row],[Percentage]]&gt;=80,"A",IF(Table1[[#This Row],[Percentage]]&gt;=60,"B",IF(Table1[[#This Row],[Percentage]]&gt;=40,"C","F")))</f>
        <v>C</v>
      </c>
      <c r="I403" t="str">
        <f t="shared" si="34"/>
        <v>Pass</v>
      </c>
      <c r="J403" t="str">
        <f t="shared" si="35"/>
        <v>Below Avg</v>
      </c>
      <c r="K403">
        <f>RANK(Table1[[#This Row],[Total]],Table1[Total],0)</f>
        <v>392</v>
      </c>
      <c r="L403" t="str">
        <f t="shared" si="36"/>
        <v>No</v>
      </c>
    </row>
    <row r="404" spans="1:12" x14ac:dyDescent="0.3">
      <c r="A404">
        <v>503</v>
      </c>
      <c r="B404" t="s">
        <v>8</v>
      </c>
      <c r="C404">
        <v>51</v>
      </c>
      <c r="D404">
        <v>90</v>
      </c>
      <c r="E404">
        <v>56</v>
      </c>
      <c r="F404">
        <f t="shared" si="32"/>
        <v>197</v>
      </c>
      <c r="G404">
        <f t="shared" si="33"/>
        <v>65.666666666666671</v>
      </c>
      <c r="H404" t="str">
        <f>IF(Table1[[#This Row],[Percentage]]&gt;=80,"A",IF(Table1[[#This Row],[Percentage]]&gt;=60,"B",IF(Table1[[#This Row],[Percentage]]&gt;=40,"C","F")))</f>
        <v>B</v>
      </c>
      <c r="I404" t="str">
        <f t="shared" si="34"/>
        <v>Pass</v>
      </c>
      <c r="J404" t="str">
        <f t="shared" si="35"/>
        <v>Above Avg</v>
      </c>
      <c r="K404">
        <f>RANK(Table1[[#This Row],[Total]],Table1[Total],0)</f>
        <v>224</v>
      </c>
      <c r="L404" t="str">
        <f t="shared" si="36"/>
        <v>No</v>
      </c>
    </row>
    <row r="405" spans="1:12" x14ac:dyDescent="0.3">
      <c r="A405">
        <v>504</v>
      </c>
      <c r="B405" t="s">
        <v>15</v>
      </c>
      <c r="C405">
        <v>58</v>
      </c>
      <c r="D405">
        <v>48</v>
      </c>
      <c r="E405">
        <v>89</v>
      </c>
      <c r="F405">
        <f t="shared" si="32"/>
        <v>195</v>
      </c>
      <c r="G405">
        <f t="shared" si="33"/>
        <v>65</v>
      </c>
      <c r="H405" t="str">
        <f>IF(Table1[[#This Row],[Percentage]]&gt;=80,"A",IF(Table1[[#This Row],[Percentage]]&gt;=60,"B",IF(Table1[[#This Row],[Percentage]]&gt;=40,"C","F")))</f>
        <v>B</v>
      </c>
      <c r="I405" t="str">
        <f t="shared" si="34"/>
        <v>Pass</v>
      </c>
      <c r="J405" t="str">
        <f t="shared" si="35"/>
        <v>Above Avg</v>
      </c>
      <c r="K405">
        <f>RANK(Table1[[#This Row],[Total]],Table1[Total],0)</f>
        <v>243</v>
      </c>
      <c r="L405" t="str">
        <f t="shared" si="36"/>
        <v>No</v>
      </c>
    </row>
    <row r="406" spans="1:12" x14ac:dyDescent="0.3">
      <c r="A406">
        <v>505</v>
      </c>
      <c r="B406" t="s">
        <v>15</v>
      </c>
      <c r="C406">
        <v>52</v>
      </c>
      <c r="D406">
        <v>56</v>
      </c>
      <c r="E406">
        <v>41</v>
      </c>
      <c r="F406">
        <f t="shared" si="32"/>
        <v>149</v>
      </c>
      <c r="G406">
        <f t="shared" si="33"/>
        <v>49.666666666666664</v>
      </c>
      <c r="H406" t="str">
        <f>IF(Table1[[#This Row],[Percentage]]&gt;=80,"A",IF(Table1[[#This Row],[Percentage]]&gt;=60,"B",IF(Table1[[#This Row],[Percentage]]&gt;=40,"C","F")))</f>
        <v>C</v>
      </c>
      <c r="I406" t="str">
        <f t="shared" si="34"/>
        <v>Pass</v>
      </c>
      <c r="J406" t="str">
        <f t="shared" si="35"/>
        <v>Below Avg</v>
      </c>
      <c r="K406">
        <f>RANK(Table1[[#This Row],[Total]],Table1[Total],0)</f>
        <v>446</v>
      </c>
      <c r="L406" t="str">
        <f t="shared" si="36"/>
        <v>No</v>
      </c>
    </row>
    <row r="407" spans="1:12" x14ac:dyDescent="0.3">
      <c r="A407">
        <v>506</v>
      </c>
      <c r="B407" t="s">
        <v>14</v>
      </c>
      <c r="C407">
        <v>100</v>
      </c>
      <c r="D407">
        <v>96</v>
      </c>
      <c r="E407">
        <v>77</v>
      </c>
      <c r="F407">
        <f t="shared" si="32"/>
        <v>273</v>
      </c>
      <c r="G407">
        <f t="shared" si="33"/>
        <v>91</v>
      </c>
      <c r="H407" t="str">
        <f>IF(Table1[[#This Row],[Percentage]]&gt;=80,"A",IF(Table1[[#This Row],[Percentage]]&gt;=60,"B",IF(Table1[[#This Row],[Percentage]]&gt;=40,"C","F")))</f>
        <v>A</v>
      </c>
      <c r="I407" t="str">
        <f t="shared" si="34"/>
        <v>Pass</v>
      </c>
      <c r="J407" t="str">
        <f t="shared" si="35"/>
        <v>Above Avg</v>
      </c>
      <c r="K407">
        <f>RANK(Table1[[#This Row],[Total]],Table1[Total],0)</f>
        <v>4</v>
      </c>
      <c r="L407" t="str">
        <f t="shared" si="36"/>
        <v>Yes</v>
      </c>
    </row>
    <row r="408" spans="1:12" x14ac:dyDescent="0.3">
      <c r="A408">
        <v>507</v>
      </c>
      <c r="B408" t="s">
        <v>12</v>
      </c>
      <c r="C408">
        <v>74</v>
      </c>
      <c r="D408">
        <v>48</v>
      </c>
      <c r="E408">
        <v>36</v>
      </c>
      <c r="F408">
        <f t="shared" si="32"/>
        <v>158</v>
      </c>
      <c r="G408">
        <f t="shared" si="33"/>
        <v>52.666666666666664</v>
      </c>
      <c r="H408" t="str">
        <f>IF(Table1[[#This Row],[Percentage]]&gt;=80,"A",IF(Table1[[#This Row],[Percentage]]&gt;=60,"B",IF(Table1[[#This Row],[Percentage]]&gt;=40,"C","F")))</f>
        <v>C</v>
      </c>
      <c r="I408" t="str">
        <f t="shared" si="34"/>
        <v>Pass</v>
      </c>
      <c r="J408" t="str">
        <f t="shared" si="35"/>
        <v>Below Avg</v>
      </c>
      <c r="K408">
        <f>RANK(Table1[[#This Row],[Total]],Table1[Total],0)</f>
        <v>411</v>
      </c>
      <c r="L408" t="str">
        <f t="shared" si="36"/>
        <v>No</v>
      </c>
    </row>
    <row r="409" spans="1:12" x14ac:dyDescent="0.3">
      <c r="A409">
        <v>508</v>
      </c>
      <c r="B409" t="s">
        <v>9</v>
      </c>
      <c r="C409">
        <v>30</v>
      </c>
      <c r="D409">
        <v>62</v>
      </c>
      <c r="E409">
        <v>81</v>
      </c>
      <c r="F409">
        <f t="shared" si="32"/>
        <v>173</v>
      </c>
      <c r="G409">
        <f t="shared" si="33"/>
        <v>57.666666666666664</v>
      </c>
      <c r="H409" t="str">
        <f>IF(Table1[[#This Row],[Percentage]]&gt;=80,"A",IF(Table1[[#This Row],[Percentage]]&gt;=60,"B",IF(Table1[[#This Row],[Percentage]]&gt;=40,"C","F")))</f>
        <v>C</v>
      </c>
      <c r="I409" t="str">
        <f t="shared" si="34"/>
        <v>Pass</v>
      </c>
      <c r="J409" t="str">
        <f t="shared" si="35"/>
        <v>Below Avg</v>
      </c>
      <c r="K409">
        <f>RANK(Table1[[#This Row],[Total]],Table1[Total],0)</f>
        <v>346</v>
      </c>
      <c r="L409" t="str">
        <f t="shared" si="36"/>
        <v>No</v>
      </c>
    </row>
    <row r="410" spans="1:12" x14ac:dyDescent="0.3">
      <c r="A410">
        <v>509</v>
      </c>
      <c r="B410" t="s">
        <v>8</v>
      </c>
      <c r="C410">
        <v>54</v>
      </c>
      <c r="D410">
        <v>95</v>
      </c>
      <c r="E410">
        <v>52</v>
      </c>
      <c r="F410">
        <f t="shared" si="32"/>
        <v>201</v>
      </c>
      <c r="G410">
        <f t="shared" si="33"/>
        <v>67</v>
      </c>
      <c r="H410" t="str">
        <f>IF(Table1[[#This Row],[Percentage]]&gt;=80,"A",IF(Table1[[#This Row],[Percentage]]&gt;=60,"B",IF(Table1[[#This Row],[Percentage]]&gt;=40,"C","F")))</f>
        <v>B</v>
      </c>
      <c r="I410" t="str">
        <f t="shared" si="34"/>
        <v>Pass</v>
      </c>
      <c r="J410" t="str">
        <f t="shared" si="35"/>
        <v>Above Avg</v>
      </c>
      <c r="K410">
        <f>RANK(Table1[[#This Row],[Total]],Table1[Total],0)</f>
        <v>208</v>
      </c>
      <c r="L410" t="str">
        <f t="shared" si="36"/>
        <v>No</v>
      </c>
    </row>
    <row r="411" spans="1:12" x14ac:dyDescent="0.3">
      <c r="A411">
        <v>510</v>
      </c>
      <c r="B411" t="s">
        <v>11</v>
      </c>
      <c r="C411">
        <v>59</v>
      </c>
      <c r="D411">
        <v>48</v>
      </c>
      <c r="E411">
        <v>31</v>
      </c>
      <c r="F411">
        <f t="shared" si="32"/>
        <v>138</v>
      </c>
      <c r="G411">
        <f t="shared" si="33"/>
        <v>46</v>
      </c>
      <c r="H411" t="str">
        <f>IF(Table1[[#This Row],[Percentage]]&gt;=80,"A",IF(Table1[[#This Row],[Percentage]]&gt;=60,"B",IF(Table1[[#This Row],[Percentage]]&gt;=40,"C","F")))</f>
        <v>C</v>
      </c>
      <c r="I411" t="str">
        <f t="shared" si="34"/>
        <v>Pass</v>
      </c>
      <c r="J411" t="str">
        <f t="shared" si="35"/>
        <v>Below Avg</v>
      </c>
      <c r="K411">
        <f>RANK(Table1[[#This Row],[Total]],Table1[Total],0)</f>
        <v>472</v>
      </c>
      <c r="L411" t="str">
        <f t="shared" si="36"/>
        <v>No</v>
      </c>
    </row>
    <row r="412" spans="1:12" x14ac:dyDescent="0.3">
      <c r="A412">
        <v>511</v>
      </c>
      <c r="B412" t="s">
        <v>8</v>
      </c>
      <c r="C412">
        <v>94</v>
      </c>
      <c r="D412">
        <v>82</v>
      </c>
      <c r="E412">
        <v>44</v>
      </c>
      <c r="F412">
        <f t="shared" si="32"/>
        <v>220</v>
      </c>
      <c r="G412">
        <f t="shared" si="33"/>
        <v>73.333333333333329</v>
      </c>
      <c r="H412" t="str">
        <f>IF(Table1[[#This Row],[Percentage]]&gt;=80,"A",IF(Table1[[#This Row],[Percentage]]&gt;=60,"B",IF(Table1[[#This Row],[Percentage]]&gt;=40,"C","F")))</f>
        <v>B</v>
      </c>
      <c r="I412" t="str">
        <f t="shared" si="34"/>
        <v>Pass</v>
      </c>
      <c r="J412" t="str">
        <f t="shared" si="35"/>
        <v>Above Avg</v>
      </c>
      <c r="K412">
        <f>RANK(Table1[[#This Row],[Total]],Table1[Total],0)</f>
        <v>113</v>
      </c>
      <c r="L412" t="str">
        <f t="shared" si="36"/>
        <v>No</v>
      </c>
    </row>
    <row r="413" spans="1:12" x14ac:dyDescent="0.3">
      <c r="A413">
        <v>512</v>
      </c>
      <c r="B413" t="s">
        <v>13</v>
      </c>
      <c r="C413">
        <v>60</v>
      </c>
      <c r="D413">
        <v>70</v>
      </c>
      <c r="E413">
        <v>79</v>
      </c>
      <c r="F413">
        <f t="shared" si="32"/>
        <v>209</v>
      </c>
      <c r="G413">
        <f t="shared" si="33"/>
        <v>69.666666666666671</v>
      </c>
      <c r="H413" t="str">
        <f>IF(Table1[[#This Row],[Percentage]]&gt;=80,"A",IF(Table1[[#This Row],[Percentage]]&gt;=60,"B",IF(Table1[[#This Row],[Percentage]]&gt;=40,"C","F")))</f>
        <v>B</v>
      </c>
      <c r="I413" t="str">
        <f t="shared" si="34"/>
        <v>Pass</v>
      </c>
      <c r="J413" t="str">
        <f t="shared" si="35"/>
        <v>Above Avg</v>
      </c>
      <c r="K413">
        <f>RANK(Table1[[#This Row],[Total]],Table1[Total],0)</f>
        <v>164</v>
      </c>
      <c r="L413" t="str">
        <f t="shared" si="36"/>
        <v>No</v>
      </c>
    </row>
    <row r="414" spans="1:12" x14ac:dyDescent="0.3">
      <c r="A414">
        <v>513</v>
      </c>
      <c r="B414" t="s">
        <v>12</v>
      </c>
      <c r="C414">
        <v>91</v>
      </c>
      <c r="D414">
        <v>48</v>
      </c>
      <c r="E414">
        <v>99</v>
      </c>
      <c r="F414">
        <f t="shared" si="32"/>
        <v>238</v>
      </c>
      <c r="G414">
        <f t="shared" si="33"/>
        <v>79.333333333333329</v>
      </c>
      <c r="H414" t="str">
        <f>IF(Table1[[#This Row],[Percentage]]&gt;=80,"A",IF(Table1[[#This Row],[Percentage]]&gt;=60,"B",IF(Table1[[#This Row],[Percentage]]&gt;=40,"C","F")))</f>
        <v>B</v>
      </c>
      <c r="I414" t="str">
        <f t="shared" si="34"/>
        <v>Pass</v>
      </c>
      <c r="J414" t="str">
        <f t="shared" si="35"/>
        <v>Above Avg</v>
      </c>
      <c r="K414">
        <f>RANK(Table1[[#This Row],[Total]],Table1[Total],0)</f>
        <v>53</v>
      </c>
      <c r="L414" t="str">
        <f t="shared" si="36"/>
        <v>Yes</v>
      </c>
    </row>
    <row r="415" spans="1:12" x14ac:dyDescent="0.3">
      <c r="A415">
        <v>514</v>
      </c>
      <c r="B415" t="s">
        <v>14</v>
      </c>
      <c r="C415">
        <v>57</v>
      </c>
      <c r="D415">
        <v>100</v>
      </c>
      <c r="E415">
        <v>99</v>
      </c>
      <c r="F415">
        <f t="shared" si="32"/>
        <v>256</v>
      </c>
      <c r="G415">
        <f t="shared" si="33"/>
        <v>85.333333333333329</v>
      </c>
      <c r="H415" t="str">
        <f>IF(Table1[[#This Row],[Percentage]]&gt;=80,"A",IF(Table1[[#This Row],[Percentage]]&gt;=60,"B",IF(Table1[[#This Row],[Percentage]]&gt;=40,"C","F")))</f>
        <v>A</v>
      </c>
      <c r="I415" t="str">
        <f t="shared" si="34"/>
        <v>Pass</v>
      </c>
      <c r="J415" t="str">
        <f t="shared" si="35"/>
        <v>Above Avg</v>
      </c>
      <c r="K415">
        <f>RANK(Table1[[#This Row],[Total]],Table1[Total],0)</f>
        <v>21</v>
      </c>
      <c r="L415" t="str">
        <f t="shared" si="36"/>
        <v>Yes</v>
      </c>
    </row>
    <row r="416" spans="1:12" x14ac:dyDescent="0.3">
      <c r="A416">
        <v>515</v>
      </c>
      <c r="B416" t="s">
        <v>15</v>
      </c>
      <c r="C416">
        <v>96</v>
      </c>
      <c r="D416">
        <v>60</v>
      </c>
      <c r="E416">
        <v>92</v>
      </c>
      <c r="F416">
        <f t="shared" si="32"/>
        <v>248</v>
      </c>
      <c r="G416">
        <f t="shared" si="33"/>
        <v>82.666666666666671</v>
      </c>
      <c r="H416" t="str">
        <f>IF(Table1[[#This Row],[Percentage]]&gt;=80,"A",IF(Table1[[#This Row],[Percentage]]&gt;=60,"B",IF(Table1[[#This Row],[Percentage]]&gt;=40,"C","F")))</f>
        <v>A</v>
      </c>
      <c r="I416" t="str">
        <f t="shared" si="34"/>
        <v>Pass</v>
      </c>
      <c r="J416" t="str">
        <f t="shared" si="35"/>
        <v>Above Avg</v>
      </c>
      <c r="K416">
        <f>RANK(Table1[[#This Row],[Total]],Table1[Total],0)</f>
        <v>38</v>
      </c>
      <c r="L416" t="str">
        <f t="shared" si="36"/>
        <v>Yes</v>
      </c>
    </row>
    <row r="417" spans="1:12" x14ac:dyDescent="0.3">
      <c r="A417">
        <v>516</v>
      </c>
      <c r="B417" t="s">
        <v>14</v>
      </c>
      <c r="C417">
        <v>77</v>
      </c>
      <c r="D417">
        <v>58</v>
      </c>
      <c r="E417">
        <v>86</v>
      </c>
      <c r="F417">
        <f t="shared" si="32"/>
        <v>221</v>
      </c>
      <c r="G417">
        <f t="shared" si="33"/>
        <v>73.666666666666671</v>
      </c>
      <c r="H417" t="str">
        <f>IF(Table1[[#This Row],[Percentage]]&gt;=80,"A",IF(Table1[[#This Row],[Percentage]]&gt;=60,"B",IF(Table1[[#This Row],[Percentage]]&gt;=40,"C","F")))</f>
        <v>B</v>
      </c>
      <c r="I417" t="str">
        <f t="shared" si="34"/>
        <v>Pass</v>
      </c>
      <c r="J417" t="str">
        <f t="shared" si="35"/>
        <v>Above Avg</v>
      </c>
      <c r="K417">
        <f>RANK(Table1[[#This Row],[Total]],Table1[Total],0)</f>
        <v>109</v>
      </c>
      <c r="L417" t="str">
        <f t="shared" si="36"/>
        <v>No</v>
      </c>
    </row>
    <row r="418" spans="1:12" x14ac:dyDescent="0.3">
      <c r="A418">
        <v>517</v>
      </c>
      <c r="B418" t="s">
        <v>12</v>
      </c>
      <c r="C418">
        <v>70</v>
      </c>
      <c r="D418">
        <v>32</v>
      </c>
      <c r="E418">
        <v>60</v>
      </c>
      <c r="F418">
        <f t="shared" si="32"/>
        <v>162</v>
      </c>
      <c r="G418">
        <f t="shared" si="33"/>
        <v>54</v>
      </c>
      <c r="H418" t="str">
        <f>IF(Table1[[#This Row],[Percentage]]&gt;=80,"A",IF(Table1[[#This Row],[Percentage]]&gt;=60,"B",IF(Table1[[#This Row],[Percentage]]&gt;=40,"C","F")))</f>
        <v>C</v>
      </c>
      <c r="I418" t="str">
        <f t="shared" si="34"/>
        <v>Pass</v>
      </c>
      <c r="J418" t="str">
        <f t="shared" si="35"/>
        <v>Below Avg</v>
      </c>
      <c r="K418">
        <f>RANK(Table1[[#This Row],[Total]],Table1[Total],0)</f>
        <v>398</v>
      </c>
      <c r="L418" t="str">
        <f t="shared" si="36"/>
        <v>No</v>
      </c>
    </row>
    <row r="419" spans="1:12" x14ac:dyDescent="0.3">
      <c r="A419">
        <v>518</v>
      </c>
      <c r="B419" t="s">
        <v>11</v>
      </c>
      <c r="C419">
        <v>100</v>
      </c>
      <c r="D419">
        <v>91</v>
      </c>
      <c r="E419">
        <v>75</v>
      </c>
      <c r="F419">
        <f t="shared" si="32"/>
        <v>266</v>
      </c>
      <c r="G419">
        <f t="shared" si="33"/>
        <v>88.666666666666671</v>
      </c>
      <c r="H419" t="str">
        <f>IF(Table1[[#This Row],[Percentage]]&gt;=80,"A",IF(Table1[[#This Row],[Percentage]]&gt;=60,"B",IF(Table1[[#This Row],[Percentage]]&gt;=40,"C","F")))</f>
        <v>A</v>
      </c>
      <c r="I419" t="str">
        <f t="shared" si="34"/>
        <v>Pass</v>
      </c>
      <c r="J419" t="str">
        <f t="shared" si="35"/>
        <v>Above Avg</v>
      </c>
      <c r="K419">
        <f>RANK(Table1[[#This Row],[Total]],Table1[Total],0)</f>
        <v>8</v>
      </c>
      <c r="L419" t="str">
        <f t="shared" si="36"/>
        <v>Yes</v>
      </c>
    </row>
    <row r="420" spans="1:12" x14ac:dyDescent="0.3">
      <c r="A420">
        <v>519</v>
      </c>
      <c r="B420" t="s">
        <v>8</v>
      </c>
      <c r="C420">
        <v>97</v>
      </c>
      <c r="D420">
        <v>34</v>
      </c>
      <c r="E420">
        <v>74</v>
      </c>
      <c r="F420">
        <f t="shared" si="32"/>
        <v>205</v>
      </c>
      <c r="G420">
        <f t="shared" si="33"/>
        <v>68.333333333333329</v>
      </c>
      <c r="H420" t="str">
        <f>IF(Table1[[#This Row],[Percentage]]&gt;=80,"A",IF(Table1[[#This Row],[Percentage]]&gt;=60,"B",IF(Table1[[#This Row],[Percentage]]&gt;=40,"C","F")))</f>
        <v>B</v>
      </c>
      <c r="I420" t="str">
        <f t="shared" si="34"/>
        <v>Pass</v>
      </c>
      <c r="J420" t="str">
        <f t="shared" si="35"/>
        <v>Above Avg</v>
      </c>
      <c r="K420">
        <f>RANK(Table1[[#This Row],[Total]],Table1[Total],0)</f>
        <v>188</v>
      </c>
      <c r="L420" t="str">
        <f t="shared" si="36"/>
        <v>No</v>
      </c>
    </row>
    <row r="421" spans="1:12" x14ac:dyDescent="0.3">
      <c r="A421">
        <v>520</v>
      </c>
      <c r="B421" t="s">
        <v>12</v>
      </c>
      <c r="C421">
        <v>59</v>
      </c>
      <c r="D421">
        <v>36</v>
      </c>
      <c r="E421">
        <v>46</v>
      </c>
      <c r="F421">
        <f t="shared" si="32"/>
        <v>141</v>
      </c>
      <c r="G421">
        <f t="shared" si="33"/>
        <v>47</v>
      </c>
      <c r="H421" t="str">
        <f>IF(Table1[[#This Row],[Percentage]]&gt;=80,"A",IF(Table1[[#This Row],[Percentage]]&gt;=60,"B",IF(Table1[[#This Row],[Percentage]]&gt;=40,"C","F")))</f>
        <v>C</v>
      </c>
      <c r="I421" t="str">
        <f t="shared" si="34"/>
        <v>Pass</v>
      </c>
      <c r="J421" t="str">
        <f t="shared" si="35"/>
        <v>Below Avg</v>
      </c>
      <c r="K421">
        <f>RANK(Table1[[#This Row],[Total]],Table1[Total],0)</f>
        <v>465</v>
      </c>
      <c r="L421" t="str">
        <f t="shared" si="36"/>
        <v>No</v>
      </c>
    </row>
    <row r="422" spans="1:12" x14ac:dyDescent="0.3">
      <c r="A422">
        <v>521</v>
      </c>
      <c r="B422" t="s">
        <v>11</v>
      </c>
      <c r="C422">
        <v>84</v>
      </c>
      <c r="D422">
        <v>90</v>
      </c>
      <c r="E422">
        <v>78</v>
      </c>
      <c r="F422">
        <f t="shared" si="32"/>
        <v>252</v>
      </c>
      <c r="G422">
        <f t="shared" si="33"/>
        <v>84</v>
      </c>
      <c r="H422" t="str">
        <f>IF(Table1[[#This Row],[Percentage]]&gt;=80,"A",IF(Table1[[#This Row],[Percentage]]&gt;=60,"B",IF(Table1[[#This Row],[Percentage]]&gt;=40,"C","F")))</f>
        <v>A</v>
      </c>
      <c r="I422" t="str">
        <f t="shared" si="34"/>
        <v>Pass</v>
      </c>
      <c r="J422" t="str">
        <f t="shared" si="35"/>
        <v>Above Avg</v>
      </c>
      <c r="K422">
        <f>RANK(Table1[[#This Row],[Total]],Table1[Total],0)</f>
        <v>27</v>
      </c>
      <c r="L422" t="str">
        <f t="shared" si="36"/>
        <v>Yes</v>
      </c>
    </row>
    <row r="423" spans="1:12" x14ac:dyDescent="0.3">
      <c r="A423">
        <v>522</v>
      </c>
      <c r="B423" t="s">
        <v>13</v>
      </c>
      <c r="C423">
        <v>43</v>
      </c>
      <c r="D423">
        <v>30</v>
      </c>
      <c r="E423">
        <v>80</v>
      </c>
      <c r="F423">
        <f t="shared" si="32"/>
        <v>153</v>
      </c>
      <c r="G423">
        <f t="shared" si="33"/>
        <v>51</v>
      </c>
      <c r="H423" t="str">
        <f>IF(Table1[[#This Row],[Percentage]]&gt;=80,"A",IF(Table1[[#This Row],[Percentage]]&gt;=60,"B",IF(Table1[[#This Row],[Percentage]]&gt;=40,"C","F")))</f>
        <v>C</v>
      </c>
      <c r="I423" t="str">
        <f t="shared" si="34"/>
        <v>Pass</v>
      </c>
      <c r="J423" t="str">
        <f t="shared" si="35"/>
        <v>Below Avg</v>
      </c>
      <c r="K423">
        <f>RANK(Table1[[#This Row],[Total]],Table1[Total],0)</f>
        <v>433</v>
      </c>
      <c r="L423" t="str">
        <f t="shared" si="36"/>
        <v>No</v>
      </c>
    </row>
    <row r="424" spans="1:12" x14ac:dyDescent="0.3">
      <c r="A424">
        <v>523</v>
      </c>
      <c r="B424" t="s">
        <v>9</v>
      </c>
      <c r="C424">
        <v>61</v>
      </c>
      <c r="D424">
        <v>92</v>
      </c>
      <c r="E424">
        <v>66</v>
      </c>
      <c r="F424">
        <f t="shared" si="32"/>
        <v>219</v>
      </c>
      <c r="G424">
        <f t="shared" si="33"/>
        <v>73</v>
      </c>
      <c r="H424" t="str">
        <f>IF(Table1[[#This Row],[Percentage]]&gt;=80,"A",IF(Table1[[#This Row],[Percentage]]&gt;=60,"B",IF(Table1[[#This Row],[Percentage]]&gt;=40,"C","F")))</f>
        <v>B</v>
      </c>
      <c r="I424" t="str">
        <f t="shared" si="34"/>
        <v>Pass</v>
      </c>
      <c r="J424" t="str">
        <f t="shared" si="35"/>
        <v>Above Avg</v>
      </c>
      <c r="K424">
        <f>RANK(Table1[[#This Row],[Total]],Table1[Total],0)</f>
        <v>115</v>
      </c>
      <c r="L424" t="str">
        <f t="shared" si="36"/>
        <v>No</v>
      </c>
    </row>
    <row r="425" spans="1:12" x14ac:dyDescent="0.3">
      <c r="A425">
        <v>524</v>
      </c>
      <c r="B425" t="s">
        <v>13</v>
      </c>
      <c r="C425">
        <v>96</v>
      </c>
      <c r="D425">
        <v>99</v>
      </c>
      <c r="E425">
        <v>39</v>
      </c>
      <c r="F425">
        <f t="shared" si="32"/>
        <v>234</v>
      </c>
      <c r="G425">
        <f t="shared" si="33"/>
        <v>78</v>
      </c>
      <c r="H425" t="str">
        <f>IF(Table1[[#This Row],[Percentage]]&gt;=80,"A",IF(Table1[[#This Row],[Percentage]]&gt;=60,"B",IF(Table1[[#This Row],[Percentage]]&gt;=40,"C","F")))</f>
        <v>B</v>
      </c>
      <c r="I425" t="str">
        <f t="shared" si="34"/>
        <v>Pass</v>
      </c>
      <c r="J425" t="str">
        <f t="shared" si="35"/>
        <v>Above Avg</v>
      </c>
      <c r="K425">
        <f>RANK(Table1[[#This Row],[Total]],Table1[Total],0)</f>
        <v>65</v>
      </c>
      <c r="L425" t="str">
        <f t="shared" si="36"/>
        <v>Yes</v>
      </c>
    </row>
    <row r="426" spans="1:12" x14ac:dyDescent="0.3">
      <c r="A426">
        <v>525</v>
      </c>
      <c r="B426" t="s">
        <v>8</v>
      </c>
      <c r="C426">
        <v>31</v>
      </c>
      <c r="D426">
        <v>88</v>
      </c>
      <c r="E426">
        <v>37</v>
      </c>
      <c r="F426">
        <f t="shared" si="32"/>
        <v>156</v>
      </c>
      <c r="G426">
        <f t="shared" si="33"/>
        <v>52</v>
      </c>
      <c r="H426" t="str">
        <f>IF(Table1[[#This Row],[Percentage]]&gt;=80,"A",IF(Table1[[#This Row],[Percentage]]&gt;=60,"B",IF(Table1[[#This Row],[Percentage]]&gt;=40,"C","F")))</f>
        <v>C</v>
      </c>
      <c r="I426" t="str">
        <f t="shared" si="34"/>
        <v>Pass</v>
      </c>
      <c r="J426" t="str">
        <f t="shared" si="35"/>
        <v>Below Avg</v>
      </c>
      <c r="K426">
        <f>RANK(Table1[[#This Row],[Total]],Table1[Total],0)</f>
        <v>422</v>
      </c>
      <c r="L426" t="str">
        <f t="shared" si="36"/>
        <v>No</v>
      </c>
    </row>
    <row r="427" spans="1:12" x14ac:dyDescent="0.3">
      <c r="A427">
        <v>526</v>
      </c>
      <c r="B427" t="s">
        <v>15</v>
      </c>
      <c r="C427">
        <v>63</v>
      </c>
      <c r="D427">
        <v>98</v>
      </c>
      <c r="E427">
        <v>57</v>
      </c>
      <c r="F427">
        <f t="shared" si="32"/>
        <v>218</v>
      </c>
      <c r="G427">
        <f t="shared" si="33"/>
        <v>72.666666666666671</v>
      </c>
      <c r="H427" t="str">
        <f>IF(Table1[[#This Row],[Percentage]]&gt;=80,"A",IF(Table1[[#This Row],[Percentage]]&gt;=60,"B",IF(Table1[[#This Row],[Percentage]]&gt;=40,"C","F")))</f>
        <v>B</v>
      </c>
      <c r="I427" t="str">
        <f t="shared" si="34"/>
        <v>Pass</v>
      </c>
      <c r="J427" t="str">
        <f t="shared" si="35"/>
        <v>Above Avg</v>
      </c>
      <c r="K427">
        <f>RANK(Table1[[#This Row],[Total]],Table1[Total],0)</f>
        <v>120</v>
      </c>
      <c r="L427" t="str">
        <f t="shared" si="36"/>
        <v>No</v>
      </c>
    </row>
    <row r="428" spans="1:12" x14ac:dyDescent="0.3">
      <c r="A428">
        <v>527</v>
      </c>
      <c r="B428" t="s">
        <v>11</v>
      </c>
      <c r="C428">
        <v>78</v>
      </c>
      <c r="D428">
        <v>87</v>
      </c>
      <c r="E428">
        <v>72</v>
      </c>
      <c r="F428">
        <f t="shared" si="32"/>
        <v>237</v>
      </c>
      <c r="G428">
        <f t="shared" si="33"/>
        <v>79</v>
      </c>
      <c r="H428" t="str">
        <f>IF(Table1[[#This Row],[Percentage]]&gt;=80,"A",IF(Table1[[#This Row],[Percentage]]&gt;=60,"B",IF(Table1[[#This Row],[Percentage]]&gt;=40,"C","F")))</f>
        <v>B</v>
      </c>
      <c r="I428" t="str">
        <f t="shared" si="34"/>
        <v>Pass</v>
      </c>
      <c r="J428" t="str">
        <f t="shared" si="35"/>
        <v>Above Avg</v>
      </c>
      <c r="K428">
        <f>RANK(Table1[[#This Row],[Total]],Table1[Total],0)</f>
        <v>56</v>
      </c>
      <c r="L428" t="str">
        <f t="shared" si="36"/>
        <v>Yes</v>
      </c>
    </row>
    <row r="429" spans="1:12" x14ac:dyDescent="0.3">
      <c r="A429">
        <v>528</v>
      </c>
      <c r="B429" t="s">
        <v>15</v>
      </c>
      <c r="C429">
        <v>65</v>
      </c>
      <c r="D429">
        <v>51</v>
      </c>
      <c r="E429">
        <v>82</v>
      </c>
      <c r="F429">
        <f t="shared" si="32"/>
        <v>198</v>
      </c>
      <c r="G429">
        <f t="shared" si="33"/>
        <v>66</v>
      </c>
      <c r="H429" t="str">
        <f>IF(Table1[[#This Row],[Percentage]]&gt;=80,"A",IF(Table1[[#This Row],[Percentage]]&gt;=60,"B",IF(Table1[[#This Row],[Percentage]]&gt;=40,"C","F")))</f>
        <v>B</v>
      </c>
      <c r="I429" t="str">
        <f t="shared" si="34"/>
        <v>Pass</v>
      </c>
      <c r="J429" t="str">
        <f t="shared" si="35"/>
        <v>Above Avg</v>
      </c>
      <c r="K429">
        <f>RANK(Table1[[#This Row],[Total]],Table1[Total],0)</f>
        <v>217</v>
      </c>
      <c r="L429" t="str">
        <f t="shared" si="36"/>
        <v>No</v>
      </c>
    </row>
    <row r="430" spans="1:12" x14ac:dyDescent="0.3">
      <c r="A430">
        <v>529</v>
      </c>
      <c r="B430" t="s">
        <v>10</v>
      </c>
      <c r="C430">
        <v>53</v>
      </c>
      <c r="D430">
        <v>82</v>
      </c>
      <c r="E430">
        <v>99</v>
      </c>
      <c r="F430">
        <f t="shared" si="32"/>
        <v>234</v>
      </c>
      <c r="G430">
        <f t="shared" si="33"/>
        <v>78</v>
      </c>
      <c r="H430" t="str">
        <f>IF(Table1[[#This Row],[Percentage]]&gt;=80,"A",IF(Table1[[#This Row],[Percentage]]&gt;=60,"B",IF(Table1[[#This Row],[Percentage]]&gt;=40,"C","F")))</f>
        <v>B</v>
      </c>
      <c r="I430" t="str">
        <f t="shared" si="34"/>
        <v>Pass</v>
      </c>
      <c r="J430" t="str">
        <f t="shared" si="35"/>
        <v>Above Avg</v>
      </c>
      <c r="K430">
        <f>RANK(Table1[[#This Row],[Total]],Table1[Total],0)</f>
        <v>65</v>
      </c>
      <c r="L430" t="str">
        <f t="shared" si="36"/>
        <v>Yes</v>
      </c>
    </row>
    <row r="431" spans="1:12" x14ac:dyDescent="0.3">
      <c r="A431">
        <v>530</v>
      </c>
      <c r="B431" t="s">
        <v>12</v>
      </c>
      <c r="C431">
        <v>88</v>
      </c>
      <c r="D431">
        <v>52</v>
      </c>
      <c r="E431">
        <v>56</v>
      </c>
      <c r="F431">
        <f t="shared" si="32"/>
        <v>196</v>
      </c>
      <c r="G431">
        <f t="shared" si="33"/>
        <v>65.333333333333329</v>
      </c>
      <c r="H431" t="str">
        <f>IF(Table1[[#This Row],[Percentage]]&gt;=80,"A",IF(Table1[[#This Row],[Percentage]]&gt;=60,"B",IF(Table1[[#This Row],[Percentage]]&gt;=40,"C","F")))</f>
        <v>B</v>
      </c>
      <c r="I431" t="str">
        <f t="shared" si="34"/>
        <v>Pass</v>
      </c>
      <c r="J431" t="str">
        <f t="shared" si="35"/>
        <v>Above Avg</v>
      </c>
      <c r="K431">
        <f>RANK(Table1[[#This Row],[Total]],Table1[Total],0)</f>
        <v>235</v>
      </c>
      <c r="L431" t="str">
        <f t="shared" si="36"/>
        <v>No</v>
      </c>
    </row>
    <row r="432" spans="1:12" x14ac:dyDescent="0.3">
      <c r="A432">
        <v>531</v>
      </c>
      <c r="B432" t="s">
        <v>10</v>
      </c>
      <c r="C432">
        <v>38</v>
      </c>
      <c r="D432">
        <v>72</v>
      </c>
      <c r="E432">
        <v>48</v>
      </c>
      <c r="F432">
        <f t="shared" si="32"/>
        <v>158</v>
      </c>
      <c r="G432">
        <f t="shared" si="33"/>
        <v>52.666666666666664</v>
      </c>
      <c r="H432" t="str">
        <f>IF(Table1[[#This Row],[Percentage]]&gt;=80,"A",IF(Table1[[#This Row],[Percentage]]&gt;=60,"B",IF(Table1[[#This Row],[Percentage]]&gt;=40,"C","F")))</f>
        <v>C</v>
      </c>
      <c r="I432" t="str">
        <f t="shared" si="34"/>
        <v>Pass</v>
      </c>
      <c r="J432" t="str">
        <f t="shared" si="35"/>
        <v>Below Avg</v>
      </c>
      <c r="K432">
        <f>RANK(Table1[[#This Row],[Total]],Table1[Total],0)</f>
        <v>411</v>
      </c>
      <c r="L432" t="str">
        <f t="shared" si="36"/>
        <v>No</v>
      </c>
    </row>
    <row r="433" spans="1:12" x14ac:dyDescent="0.3">
      <c r="A433">
        <v>532</v>
      </c>
      <c r="B433" t="s">
        <v>12</v>
      </c>
      <c r="C433">
        <v>92</v>
      </c>
      <c r="D433">
        <v>31</v>
      </c>
      <c r="E433">
        <v>80</v>
      </c>
      <c r="F433">
        <f t="shared" si="32"/>
        <v>203</v>
      </c>
      <c r="G433">
        <f t="shared" si="33"/>
        <v>67.666666666666671</v>
      </c>
      <c r="H433" t="str">
        <f>IF(Table1[[#This Row],[Percentage]]&gt;=80,"A",IF(Table1[[#This Row],[Percentage]]&gt;=60,"B",IF(Table1[[#This Row],[Percentage]]&gt;=40,"C","F")))</f>
        <v>B</v>
      </c>
      <c r="I433" t="str">
        <f t="shared" si="34"/>
        <v>Pass</v>
      </c>
      <c r="J433" t="str">
        <f t="shared" si="35"/>
        <v>Above Avg</v>
      </c>
      <c r="K433">
        <f>RANK(Table1[[#This Row],[Total]],Table1[Total],0)</f>
        <v>195</v>
      </c>
      <c r="L433" t="str">
        <f t="shared" si="36"/>
        <v>No</v>
      </c>
    </row>
    <row r="434" spans="1:12" x14ac:dyDescent="0.3">
      <c r="A434">
        <v>533</v>
      </c>
      <c r="B434" t="s">
        <v>14</v>
      </c>
      <c r="C434">
        <v>69</v>
      </c>
      <c r="D434">
        <v>43</v>
      </c>
      <c r="E434">
        <v>58</v>
      </c>
      <c r="F434">
        <f t="shared" si="32"/>
        <v>170</v>
      </c>
      <c r="G434">
        <f t="shared" si="33"/>
        <v>56.666666666666664</v>
      </c>
      <c r="H434" t="str">
        <f>IF(Table1[[#This Row],[Percentage]]&gt;=80,"A",IF(Table1[[#This Row],[Percentage]]&gt;=60,"B",IF(Table1[[#This Row],[Percentage]]&gt;=40,"C","F")))</f>
        <v>C</v>
      </c>
      <c r="I434" t="str">
        <f t="shared" si="34"/>
        <v>Pass</v>
      </c>
      <c r="J434" t="str">
        <f t="shared" si="35"/>
        <v>Below Avg</v>
      </c>
      <c r="K434">
        <f>RANK(Table1[[#This Row],[Total]],Table1[Total],0)</f>
        <v>364</v>
      </c>
      <c r="L434" t="str">
        <f t="shared" si="36"/>
        <v>No</v>
      </c>
    </row>
    <row r="435" spans="1:12" x14ac:dyDescent="0.3">
      <c r="A435">
        <v>534</v>
      </c>
      <c r="B435" t="s">
        <v>14</v>
      </c>
      <c r="C435">
        <v>85</v>
      </c>
      <c r="D435">
        <v>40</v>
      </c>
      <c r="E435">
        <v>32</v>
      </c>
      <c r="F435">
        <f t="shared" si="32"/>
        <v>157</v>
      </c>
      <c r="G435">
        <f t="shared" si="33"/>
        <v>52.333333333333336</v>
      </c>
      <c r="H435" t="str">
        <f>IF(Table1[[#This Row],[Percentage]]&gt;=80,"A",IF(Table1[[#This Row],[Percentage]]&gt;=60,"B",IF(Table1[[#This Row],[Percentage]]&gt;=40,"C","F")))</f>
        <v>C</v>
      </c>
      <c r="I435" t="str">
        <f t="shared" si="34"/>
        <v>Pass</v>
      </c>
      <c r="J435" t="str">
        <f t="shared" si="35"/>
        <v>Below Avg</v>
      </c>
      <c r="K435">
        <f>RANK(Table1[[#This Row],[Total]],Table1[Total],0)</f>
        <v>417</v>
      </c>
      <c r="L435" t="str">
        <f t="shared" si="36"/>
        <v>No</v>
      </c>
    </row>
    <row r="436" spans="1:12" x14ac:dyDescent="0.3">
      <c r="A436">
        <v>535</v>
      </c>
      <c r="B436" t="s">
        <v>11</v>
      </c>
      <c r="C436">
        <v>65</v>
      </c>
      <c r="D436">
        <v>98</v>
      </c>
      <c r="E436">
        <v>31</v>
      </c>
      <c r="F436">
        <f t="shared" si="32"/>
        <v>194</v>
      </c>
      <c r="G436">
        <f t="shared" si="33"/>
        <v>64.666666666666671</v>
      </c>
      <c r="H436" t="str">
        <f>IF(Table1[[#This Row],[Percentage]]&gt;=80,"A",IF(Table1[[#This Row],[Percentage]]&gt;=60,"B",IF(Table1[[#This Row],[Percentage]]&gt;=40,"C","F")))</f>
        <v>B</v>
      </c>
      <c r="I436" t="str">
        <f t="shared" si="34"/>
        <v>Pass</v>
      </c>
      <c r="J436" t="str">
        <f t="shared" si="35"/>
        <v>Above Avg</v>
      </c>
      <c r="K436">
        <f>RANK(Table1[[#This Row],[Total]],Table1[Total],0)</f>
        <v>251</v>
      </c>
      <c r="L436" t="str">
        <f t="shared" si="36"/>
        <v>No</v>
      </c>
    </row>
    <row r="437" spans="1:12" x14ac:dyDescent="0.3">
      <c r="A437">
        <v>536</v>
      </c>
      <c r="B437" t="s">
        <v>8</v>
      </c>
      <c r="C437">
        <v>47</v>
      </c>
      <c r="D437">
        <v>47</v>
      </c>
      <c r="E437">
        <v>52</v>
      </c>
      <c r="F437">
        <f t="shared" si="32"/>
        <v>146</v>
      </c>
      <c r="G437">
        <f t="shared" si="33"/>
        <v>48.666666666666664</v>
      </c>
      <c r="H437" t="str">
        <f>IF(Table1[[#This Row],[Percentage]]&gt;=80,"A",IF(Table1[[#This Row],[Percentage]]&gt;=60,"B",IF(Table1[[#This Row],[Percentage]]&gt;=40,"C","F")))</f>
        <v>C</v>
      </c>
      <c r="I437" t="str">
        <f t="shared" si="34"/>
        <v>Pass</v>
      </c>
      <c r="J437" t="str">
        <f t="shared" si="35"/>
        <v>Below Avg</v>
      </c>
      <c r="K437">
        <f>RANK(Table1[[#This Row],[Total]],Table1[Total],0)</f>
        <v>452</v>
      </c>
      <c r="L437" t="str">
        <f t="shared" si="36"/>
        <v>No</v>
      </c>
    </row>
    <row r="438" spans="1:12" x14ac:dyDescent="0.3">
      <c r="A438">
        <v>537</v>
      </c>
      <c r="B438" t="s">
        <v>8</v>
      </c>
      <c r="C438">
        <v>62</v>
      </c>
      <c r="D438">
        <v>61</v>
      </c>
      <c r="E438">
        <v>87</v>
      </c>
      <c r="F438">
        <f t="shared" si="32"/>
        <v>210</v>
      </c>
      <c r="G438">
        <f t="shared" si="33"/>
        <v>70</v>
      </c>
      <c r="H438" t="str">
        <f>IF(Table1[[#This Row],[Percentage]]&gt;=80,"A",IF(Table1[[#This Row],[Percentage]]&gt;=60,"B",IF(Table1[[#This Row],[Percentage]]&gt;=40,"C","F")))</f>
        <v>B</v>
      </c>
      <c r="I438" t="str">
        <f t="shared" si="34"/>
        <v>Pass</v>
      </c>
      <c r="J438" t="str">
        <f t="shared" si="35"/>
        <v>Above Avg</v>
      </c>
      <c r="K438">
        <f>RANK(Table1[[#This Row],[Total]],Table1[Total],0)</f>
        <v>160</v>
      </c>
      <c r="L438" t="str">
        <f t="shared" si="36"/>
        <v>No</v>
      </c>
    </row>
    <row r="439" spans="1:12" x14ac:dyDescent="0.3">
      <c r="A439">
        <v>538</v>
      </c>
      <c r="B439" t="s">
        <v>14</v>
      </c>
      <c r="C439">
        <v>84</v>
      </c>
      <c r="D439">
        <v>73</v>
      </c>
      <c r="E439">
        <v>89</v>
      </c>
      <c r="F439">
        <f t="shared" si="32"/>
        <v>246</v>
      </c>
      <c r="G439">
        <f t="shared" si="33"/>
        <v>82</v>
      </c>
      <c r="H439" t="str">
        <f>IF(Table1[[#This Row],[Percentage]]&gt;=80,"A",IF(Table1[[#This Row],[Percentage]]&gt;=60,"B",IF(Table1[[#This Row],[Percentage]]&gt;=40,"C","F")))</f>
        <v>A</v>
      </c>
      <c r="I439" t="str">
        <f t="shared" si="34"/>
        <v>Pass</v>
      </c>
      <c r="J439" t="str">
        <f t="shared" si="35"/>
        <v>Above Avg</v>
      </c>
      <c r="K439">
        <f>RANK(Table1[[#This Row],[Total]],Table1[Total],0)</f>
        <v>40</v>
      </c>
      <c r="L439" t="str">
        <f t="shared" si="36"/>
        <v>Yes</v>
      </c>
    </row>
    <row r="440" spans="1:12" x14ac:dyDescent="0.3">
      <c r="A440">
        <v>539</v>
      </c>
      <c r="B440" t="s">
        <v>10</v>
      </c>
      <c r="C440">
        <v>35</v>
      </c>
      <c r="D440">
        <v>96</v>
      </c>
      <c r="E440">
        <v>66</v>
      </c>
      <c r="F440">
        <f t="shared" si="32"/>
        <v>197</v>
      </c>
      <c r="G440">
        <f t="shared" si="33"/>
        <v>65.666666666666671</v>
      </c>
      <c r="H440" t="str">
        <f>IF(Table1[[#This Row],[Percentage]]&gt;=80,"A",IF(Table1[[#This Row],[Percentage]]&gt;=60,"B",IF(Table1[[#This Row],[Percentage]]&gt;=40,"C","F")))</f>
        <v>B</v>
      </c>
      <c r="I440" t="str">
        <f t="shared" si="34"/>
        <v>Pass</v>
      </c>
      <c r="J440" t="str">
        <f t="shared" si="35"/>
        <v>Above Avg</v>
      </c>
      <c r="K440">
        <f>RANK(Table1[[#This Row],[Total]],Table1[Total],0)</f>
        <v>224</v>
      </c>
      <c r="L440" t="str">
        <f t="shared" si="36"/>
        <v>No</v>
      </c>
    </row>
    <row r="441" spans="1:12" x14ac:dyDescent="0.3">
      <c r="A441">
        <v>540</v>
      </c>
      <c r="B441" t="s">
        <v>14</v>
      </c>
      <c r="C441">
        <v>92</v>
      </c>
      <c r="D441">
        <v>73</v>
      </c>
      <c r="E441">
        <v>86</v>
      </c>
      <c r="F441">
        <f t="shared" si="32"/>
        <v>251</v>
      </c>
      <c r="G441">
        <f t="shared" si="33"/>
        <v>83.666666666666671</v>
      </c>
      <c r="H441" t="str">
        <f>IF(Table1[[#This Row],[Percentage]]&gt;=80,"A",IF(Table1[[#This Row],[Percentage]]&gt;=60,"B",IF(Table1[[#This Row],[Percentage]]&gt;=40,"C","F")))</f>
        <v>A</v>
      </c>
      <c r="I441" t="str">
        <f t="shared" si="34"/>
        <v>Pass</v>
      </c>
      <c r="J441" t="str">
        <f t="shared" si="35"/>
        <v>Above Avg</v>
      </c>
      <c r="K441">
        <f>RANK(Table1[[#This Row],[Total]],Table1[Total],0)</f>
        <v>31</v>
      </c>
      <c r="L441" t="str">
        <f t="shared" si="36"/>
        <v>Yes</v>
      </c>
    </row>
    <row r="442" spans="1:12" x14ac:dyDescent="0.3">
      <c r="A442">
        <v>541</v>
      </c>
      <c r="B442" t="s">
        <v>9</v>
      </c>
      <c r="C442">
        <v>70</v>
      </c>
      <c r="D442">
        <v>45</v>
      </c>
      <c r="E442">
        <v>35</v>
      </c>
      <c r="F442">
        <f t="shared" si="32"/>
        <v>150</v>
      </c>
      <c r="G442">
        <f t="shared" si="33"/>
        <v>50</v>
      </c>
      <c r="H442" t="str">
        <f>IF(Table1[[#This Row],[Percentage]]&gt;=80,"A",IF(Table1[[#This Row],[Percentage]]&gt;=60,"B",IF(Table1[[#This Row],[Percentage]]&gt;=40,"C","F")))</f>
        <v>C</v>
      </c>
      <c r="I442" t="str">
        <f t="shared" si="34"/>
        <v>Pass</v>
      </c>
      <c r="J442" t="str">
        <f t="shared" si="35"/>
        <v>Below Avg</v>
      </c>
      <c r="K442">
        <f>RANK(Table1[[#This Row],[Total]],Table1[Total],0)</f>
        <v>444</v>
      </c>
      <c r="L442" t="str">
        <f t="shared" si="36"/>
        <v>No</v>
      </c>
    </row>
    <row r="443" spans="1:12" x14ac:dyDescent="0.3">
      <c r="A443">
        <v>542</v>
      </c>
      <c r="B443" t="s">
        <v>8</v>
      </c>
      <c r="C443">
        <v>55</v>
      </c>
      <c r="D443">
        <v>35</v>
      </c>
      <c r="E443">
        <v>65</v>
      </c>
      <c r="F443">
        <f t="shared" si="32"/>
        <v>155</v>
      </c>
      <c r="G443">
        <f t="shared" si="33"/>
        <v>51.666666666666664</v>
      </c>
      <c r="H443" t="str">
        <f>IF(Table1[[#This Row],[Percentage]]&gt;=80,"A",IF(Table1[[#This Row],[Percentage]]&gt;=60,"B",IF(Table1[[#This Row],[Percentage]]&gt;=40,"C","F")))</f>
        <v>C</v>
      </c>
      <c r="I443" t="str">
        <f t="shared" si="34"/>
        <v>Pass</v>
      </c>
      <c r="J443" t="str">
        <f t="shared" si="35"/>
        <v>Below Avg</v>
      </c>
      <c r="K443">
        <f>RANK(Table1[[#This Row],[Total]],Table1[Total],0)</f>
        <v>426</v>
      </c>
      <c r="L443" t="str">
        <f t="shared" si="36"/>
        <v>No</v>
      </c>
    </row>
    <row r="444" spans="1:12" x14ac:dyDescent="0.3">
      <c r="A444">
        <v>543</v>
      </c>
      <c r="B444" t="s">
        <v>14</v>
      </c>
      <c r="C444">
        <v>82</v>
      </c>
      <c r="D444">
        <v>41</v>
      </c>
      <c r="E444">
        <v>58</v>
      </c>
      <c r="F444">
        <f t="shared" si="32"/>
        <v>181</v>
      </c>
      <c r="G444">
        <f t="shared" si="33"/>
        <v>60.333333333333336</v>
      </c>
      <c r="H444" t="str">
        <f>IF(Table1[[#This Row],[Percentage]]&gt;=80,"A",IF(Table1[[#This Row],[Percentage]]&gt;=60,"B",IF(Table1[[#This Row],[Percentage]]&gt;=40,"C","F")))</f>
        <v>B</v>
      </c>
      <c r="I444" t="str">
        <f t="shared" si="34"/>
        <v>Pass</v>
      </c>
      <c r="J444" t="str">
        <f t="shared" si="35"/>
        <v>Below Avg</v>
      </c>
      <c r="K444">
        <f>RANK(Table1[[#This Row],[Total]],Table1[Total],0)</f>
        <v>314</v>
      </c>
      <c r="L444" t="str">
        <f t="shared" si="36"/>
        <v>No</v>
      </c>
    </row>
    <row r="445" spans="1:12" x14ac:dyDescent="0.3">
      <c r="A445">
        <v>544</v>
      </c>
      <c r="B445" t="s">
        <v>14</v>
      </c>
      <c r="C445">
        <v>89</v>
      </c>
      <c r="D445">
        <v>35</v>
      </c>
      <c r="E445">
        <v>91</v>
      </c>
      <c r="F445">
        <f t="shared" si="32"/>
        <v>215</v>
      </c>
      <c r="G445">
        <f t="shared" si="33"/>
        <v>71.666666666666671</v>
      </c>
      <c r="H445" t="str">
        <f>IF(Table1[[#This Row],[Percentage]]&gt;=80,"A",IF(Table1[[#This Row],[Percentage]]&gt;=60,"B",IF(Table1[[#This Row],[Percentage]]&gt;=40,"C","F")))</f>
        <v>B</v>
      </c>
      <c r="I445" t="str">
        <f t="shared" si="34"/>
        <v>Pass</v>
      </c>
      <c r="J445" t="str">
        <f t="shared" si="35"/>
        <v>Above Avg</v>
      </c>
      <c r="K445">
        <f>RANK(Table1[[#This Row],[Total]],Table1[Total],0)</f>
        <v>135</v>
      </c>
      <c r="L445" t="str">
        <f t="shared" si="36"/>
        <v>No</v>
      </c>
    </row>
    <row r="446" spans="1:12" x14ac:dyDescent="0.3">
      <c r="A446">
        <v>545</v>
      </c>
      <c r="B446" t="s">
        <v>12</v>
      </c>
      <c r="C446">
        <v>90</v>
      </c>
      <c r="D446">
        <v>91</v>
      </c>
      <c r="E446">
        <v>42</v>
      </c>
      <c r="F446">
        <f t="shared" si="32"/>
        <v>223</v>
      </c>
      <c r="G446">
        <f t="shared" si="33"/>
        <v>74.333333333333329</v>
      </c>
      <c r="H446" t="str">
        <f>IF(Table1[[#This Row],[Percentage]]&gt;=80,"A",IF(Table1[[#This Row],[Percentage]]&gt;=60,"B",IF(Table1[[#This Row],[Percentage]]&gt;=40,"C","F")))</f>
        <v>B</v>
      </c>
      <c r="I446" t="str">
        <f t="shared" si="34"/>
        <v>Pass</v>
      </c>
      <c r="J446" t="str">
        <f t="shared" si="35"/>
        <v>Above Avg</v>
      </c>
      <c r="K446">
        <f>RANK(Table1[[#This Row],[Total]],Table1[Total],0)</f>
        <v>98</v>
      </c>
      <c r="L446" t="str">
        <f t="shared" si="36"/>
        <v>No</v>
      </c>
    </row>
    <row r="447" spans="1:12" x14ac:dyDescent="0.3">
      <c r="A447">
        <v>546</v>
      </c>
      <c r="B447" t="s">
        <v>10</v>
      </c>
      <c r="C447">
        <v>43</v>
      </c>
      <c r="D447">
        <v>68</v>
      </c>
      <c r="E447">
        <v>69</v>
      </c>
      <c r="F447">
        <f t="shared" si="32"/>
        <v>180</v>
      </c>
      <c r="G447">
        <f t="shared" si="33"/>
        <v>60</v>
      </c>
      <c r="H447" t="str">
        <f>IF(Table1[[#This Row],[Percentage]]&gt;=80,"A",IF(Table1[[#This Row],[Percentage]]&gt;=60,"B",IF(Table1[[#This Row],[Percentage]]&gt;=40,"C","F")))</f>
        <v>B</v>
      </c>
      <c r="I447" t="str">
        <f t="shared" si="34"/>
        <v>Pass</v>
      </c>
      <c r="J447" t="str">
        <f t="shared" si="35"/>
        <v>Below Avg</v>
      </c>
      <c r="K447">
        <f>RANK(Table1[[#This Row],[Total]],Table1[Total],0)</f>
        <v>318</v>
      </c>
      <c r="L447" t="str">
        <f t="shared" si="36"/>
        <v>No</v>
      </c>
    </row>
    <row r="448" spans="1:12" x14ac:dyDescent="0.3">
      <c r="A448">
        <v>547</v>
      </c>
      <c r="B448" t="s">
        <v>8</v>
      </c>
      <c r="C448">
        <v>37</v>
      </c>
      <c r="D448">
        <v>73</v>
      </c>
      <c r="E448">
        <v>47</v>
      </c>
      <c r="F448">
        <f t="shared" si="32"/>
        <v>157</v>
      </c>
      <c r="G448">
        <f t="shared" si="33"/>
        <v>52.333333333333336</v>
      </c>
      <c r="H448" t="str">
        <f>IF(Table1[[#This Row],[Percentage]]&gt;=80,"A",IF(Table1[[#This Row],[Percentage]]&gt;=60,"B",IF(Table1[[#This Row],[Percentage]]&gt;=40,"C","F")))</f>
        <v>C</v>
      </c>
      <c r="I448" t="str">
        <f t="shared" si="34"/>
        <v>Pass</v>
      </c>
      <c r="J448" t="str">
        <f t="shared" si="35"/>
        <v>Below Avg</v>
      </c>
      <c r="K448">
        <f>RANK(Table1[[#This Row],[Total]],Table1[Total],0)</f>
        <v>417</v>
      </c>
      <c r="L448" t="str">
        <f t="shared" si="36"/>
        <v>No</v>
      </c>
    </row>
    <row r="449" spans="1:12" x14ac:dyDescent="0.3">
      <c r="A449">
        <v>548</v>
      </c>
      <c r="B449" t="s">
        <v>8</v>
      </c>
      <c r="C449">
        <v>32</v>
      </c>
      <c r="D449">
        <v>38</v>
      </c>
      <c r="E449">
        <v>32</v>
      </c>
      <c r="F449">
        <f t="shared" si="32"/>
        <v>102</v>
      </c>
      <c r="G449">
        <f t="shared" si="33"/>
        <v>34</v>
      </c>
      <c r="H449" t="str">
        <f>IF(Table1[[#This Row],[Percentage]]&gt;=80,"A",IF(Table1[[#This Row],[Percentage]]&gt;=60,"B",IF(Table1[[#This Row],[Percentage]]&gt;=40,"C","F")))</f>
        <v>F</v>
      </c>
      <c r="I449" t="str">
        <f t="shared" si="34"/>
        <v>Fail</v>
      </c>
      <c r="J449" t="str">
        <f t="shared" si="35"/>
        <v>Below Avg</v>
      </c>
      <c r="K449">
        <f>RANK(Table1[[#This Row],[Total]],Table1[Total],0)</f>
        <v>500</v>
      </c>
      <c r="L449" t="str">
        <f t="shared" si="36"/>
        <v>No</v>
      </c>
    </row>
    <row r="450" spans="1:12" x14ac:dyDescent="0.3">
      <c r="A450">
        <v>549</v>
      </c>
      <c r="B450" t="s">
        <v>12</v>
      </c>
      <c r="C450">
        <v>53</v>
      </c>
      <c r="D450">
        <v>43</v>
      </c>
      <c r="E450">
        <v>74</v>
      </c>
      <c r="F450">
        <f t="shared" ref="F450:F501" si="37">SUM(C450:E450)</f>
        <v>170</v>
      </c>
      <c r="G450">
        <f t="shared" ref="G450:G501" si="38">F450/3</f>
        <v>56.666666666666664</v>
      </c>
      <c r="H450" t="str">
        <f>IF(Table1[[#This Row],[Percentage]]&gt;=80,"A",IF(Table1[[#This Row],[Percentage]]&gt;=60,"B",IF(Table1[[#This Row],[Percentage]]&gt;=40,"C","F")))</f>
        <v>C</v>
      </c>
      <c r="I450" t="str">
        <f t="shared" si="34"/>
        <v>Pass</v>
      </c>
      <c r="J450" t="str">
        <f t="shared" si="35"/>
        <v>Below Avg</v>
      </c>
      <c r="K450">
        <f>RANK(Table1[[#This Row],[Total]],Table1[Total],0)</f>
        <v>364</v>
      </c>
      <c r="L450" t="str">
        <f t="shared" si="36"/>
        <v>No</v>
      </c>
    </row>
    <row r="451" spans="1:12" x14ac:dyDescent="0.3">
      <c r="A451">
        <v>550</v>
      </c>
      <c r="B451" t="s">
        <v>9</v>
      </c>
      <c r="C451">
        <v>90</v>
      </c>
      <c r="D451">
        <v>65</v>
      </c>
      <c r="E451">
        <v>34</v>
      </c>
      <c r="F451">
        <f t="shared" si="37"/>
        <v>189</v>
      </c>
      <c r="G451">
        <f t="shared" si="38"/>
        <v>63</v>
      </c>
      <c r="H451" t="str">
        <f>IF(Table1[[#This Row],[Percentage]]&gt;=80,"A",IF(Table1[[#This Row],[Percentage]]&gt;=60,"B",IF(Table1[[#This Row],[Percentage]]&gt;=40,"C","F")))</f>
        <v>B</v>
      </c>
      <c r="I451" t="str">
        <f t="shared" ref="I451:I501" si="39">IF(AVERAGE(C451:E451)&gt;=40,"Pass","Fail")</f>
        <v>Pass</v>
      </c>
      <c r="J451" t="str">
        <f t="shared" ref="J451:J501" si="40">IF(G451&gt;AVERAGE($G$2:$G$501),"Above Avg","Below Avg")</f>
        <v>Below Avg</v>
      </c>
      <c r="K451">
        <f>RANK(Table1[[#This Row],[Total]],Table1[Total],0)</f>
        <v>276</v>
      </c>
      <c r="L451" t="str">
        <f t="shared" ref="L451:L501" si="41">IF(G451&gt;=75,"Yes","No")</f>
        <v>No</v>
      </c>
    </row>
    <row r="452" spans="1:12" x14ac:dyDescent="0.3">
      <c r="A452">
        <v>551</v>
      </c>
      <c r="B452" t="s">
        <v>8</v>
      </c>
      <c r="C452">
        <v>46</v>
      </c>
      <c r="D452">
        <v>79</v>
      </c>
      <c r="E452">
        <v>75</v>
      </c>
      <c r="F452">
        <f t="shared" si="37"/>
        <v>200</v>
      </c>
      <c r="G452">
        <f t="shared" si="38"/>
        <v>66.666666666666671</v>
      </c>
      <c r="H452" t="str">
        <f>IF(Table1[[#This Row],[Percentage]]&gt;=80,"A",IF(Table1[[#This Row],[Percentage]]&gt;=60,"B",IF(Table1[[#This Row],[Percentage]]&gt;=40,"C","F")))</f>
        <v>B</v>
      </c>
      <c r="I452" t="str">
        <f t="shared" si="39"/>
        <v>Pass</v>
      </c>
      <c r="J452" t="str">
        <f t="shared" si="40"/>
        <v>Above Avg</v>
      </c>
      <c r="K452">
        <f>RANK(Table1[[#This Row],[Total]],Table1[Total],0)</f>
        <v>210</v>
      </c>
      <c r="L452" t="str">
        <f t="shared" si="41"/>
        <v>No</v>
      </c>
    </row>
    <row r="453" spans="1:12" x14ac:dyDescent="0.3">
      <c r="A453">
        <v>552</v>
      </c>
      <c r="B453" t="s">
        <v>14</v>
      </c>
      <c r="C453">
        <v>78</v>
      </c>
      <c r="D453">
        <v>83</v>
      </c>
      <c r="E453">
        <v>34</v>
      </c>
      <c r="F453">
        <f t="shared" si="37"/>
        <v>195</v>
      </c>
      <c r="G453">
        <f t="shared" si="38"/>
        <v>65</v>
      </c>
      <c r="H453" t="str">
        <f>IF(Table1[[#This Row],[Percentage]]&gt;=80,"A",IF(Table1[[#This Row],[Percentage]]&gt;=60,"B",IF(Table1[[#This Row],[Percentage]]&gt;=40,"C","F")))</f>
        <v>B</v>
      </c>
      <c r="I453" t="str">
        <f t="shared" si="39"/>
        <v>Pass</v>
      </c>
      <c r="J453" t="str">
        <f t="shared" si="40"/>
        <v>Above Avg</v>
      </c>
      <c r="K453">
        <f>RANK(Table1[[#This Row],[Total]],Table1[Total],0)</f>
        <v>243</v>
      </c>
      <c r="L453" t="str">
        <f t="shared" si="41"/>
        <v>No</v>
      </c>
    </row>
    <row r="454" spans="1:12" x14ac:dyDescent="0.3">
      <c r="A454">
        <v>553</v>
      </c>
      <c r="B454" t="s">
        <v>15</v>
      </c>
      <c r="C454">
        <v>60</v>
      </c>
      <c r="D454">
        <v>90</v>
      </c>
      <c r="E454">
        <v>41</v>
      </c>
      <c r="F454">
        <f t="shared" si="37"/>
        <v>191</v>
      </c>
      <c r="G454">
        <f t="shared" si="38"/>
        <v>63.666666666666664</v>
      </c>
      <c r="H454" t="str">
        <f>IF(Table1[[#This Row],[Percentage]]&gt;=80,"A",IF(Table1[[#This Row],[Percentage]]&gt;=60,"B",IF(Table1[[#This Row],[Percentage]]&gt;=40,"C","F")))</f>
        <v>B</v>
      </c>
      <c r="I454" t="str">
        <f t="shared" si="39"/>
        <v>Pass</v>
      </c>
      <c r="J454" t="str">
        <f t="shared" si="40"/>
        <v>Below Avg</v>
      </c>
      <c r="K454">
        <f>RANK(Table1[[#This Row],[Total]],Table1[Total],0)</f>
        <v>265</v>
      </c>
      <c r="L454" t="str">
        <f t="shared" si="41"/>
        <v>No</v>
      </c>
    </row>
    <row r="455" spans="1:12" x14ac:dyDescent="0.3">
      <c r="A455">
        <v>554</v>
      </c>
      <c r="B455" t="s">
        <v>14</v>
      </c>
      <c r="C455">
        <v>66</v>
      </c>
      <c r="D455">
        <v>30</v>
      </c>
      <c r="E455">
        <v>85</v>
      </c>
      <c r="F455">
        <f t="shared" si="37"/>
        <v>181</v>
      </c>
      <c r="G455">
        <f t="shared" si="38"/>
        <v>60.333333333333336</v>
      </c>
      <c r="H455" t="str">
        <f>IF(Table1[[#This Row],[Percentage]]&gt;=80,"A",IF(Table1[[#This Row],[Percentage]]&gt;=60,"B",IF(Table1[[#This Row],[Percentage]]&gt;=40,"C","F")))</f>
        <v>B</v>
      </c>
      <c r="I455" t="str">
        <f t="shared" si="39"/>
        <v>Pass</v>
      </c>
      <c r="J455" t="str">
        <f t="shared" si="40"/>
        <v>Below Avg</v>
      </c>
      <c r="K455">
        <f>RANK(Table1[[#This Row],[Total]],Table1[Total],0)</f>
        <v>314</v>
      </c>
      <c r="L455" t="str">
        <f t="shared" si="41"/>
        <v>No</v>
      </c>
    </row>
    <row r="456" spans="1:12" x14ac:dyDescent="0.3">
      <c r="A456">
        <v>555</v>
      </c>
      <c r="B456" t="s">
        <v>8</v>
      </c>
      <c r="C456">
        <v>31</v>
      </c>
      <c r="D456">
        <v>93</v>
      </c>
      <c r="E456">
        <v>58</v>
      </c>
      <c r="F456">
        <f t="shared" si="37"/>
        <v>182</v>
      </c>
      <c r="G456">
        <f t="shared" si="38"/>
        <v>60.666666666666664</v>
      </c>
      <c r="H456" t="str">
        <f>IF(Table1[[#This Row],[Percentage]]&gt;=80,"A",IF(Table1[[#This Row],[Percentage]]&gt;=60,"B",IF(Table1[[#This Row],[Percentage]]&gt;=40,"C","F")))</f>
        <v>B</v>
      </c>
      <c r="I456" t="str">
        <f t="shared" si="39"/>
        <v>Pass</v>
      </c>
      <c r="J456" t="str">
        <f t="shared" si="40"/>
        <v>Below Avg</v>
      </c>
      <c r="K456">
        <f>RANK(Table1[[#This Row],[Total]],Table1[Total],0)</f>
        <v>310</v>
      </c>
      <c r="L456" t="str">
        <f t="shared" si="41"/>
        <v>No</v>
      </c>
    </row>
    <row r="457" spans="1:12" x14ac:dyDescent="0.3">
      <c r="A457">
        <v>556</v>
      </c>
      <c r="B457" t="s">
        <v>9</v>
      </c>
      <c r="C457">
        <v>48</v>
      </c>
      <c r="D457">
        <v>57</v>
      </c>
      <c r="E457">
        <v>66</v>
      </c>
      <c r="F457">
        <f t="shared" si="37"/>
        <v>171</v>
      </c>
      <c r="G457">
        <f t="shared" si="38"/>
        <v>57</v>
      </c>
      <c r="H457" t="str">
        <f>IF(Table1[[#This Row],[Percentage]]&gt;=80,"A",IF(Table1[[#This Row],[Percentage]]&gt;=60,"B",IF(Table1[[#This Row],[Percentage]]&gt;=40,"C","F")))</f>
        <v>C</v>
      </c>
      <c r="I457" t="str">
        <f t="shared" si="39"/>
        <v>Pass</v>
      </c>
      <c r="J457" t="str">
        <f t="shared" si="40"/>
        <v>Below Avg</v>
      </c>
      <c r="K457">
        <f>RANK(Table1[[#This Row],[Total]],Table1[Total],0)</f>
        <v>360</v>
      </c>
      <c r="L457" t="str">
        <f t="shared" si="41"/>
        <v>No</v>
      </c>
    </row>
    <row r="458" spans="1:12" x14ac:dyDescent="0.3">
      <c r="A458">
        <v>557</v>
      </c>
      <c r="B458" t="s">
        <v>10</v>
      </c>
      <c r="C458">
        <v>87</v>
      </c>
      <c r="D458">
        <v>69</v>
      </c>
      <c r="E458">
        <v>50</v>
      </c>
      <c r="F458">
        <f t="shared" si="37"/>
        <v>206</v>
      </c>
      <c r="G458">
        <f t="shared" si="38"/>
        <v>68.666666666666671</v>
      </c>
      <c r="H458" t="str">
        <f>IF(Table1[[#This Row],[Percentage]]&gt;=80,"A",IF(Table1[[#This Row],[Percentage]]&gt;=60,"B",IF(Table1[[#This Row],[Percentage]]&gt;=40,"C","F")))</f>
        <v>B</v>
      </c>
      <c r="I458" t="str">
        <f t="shared" si="39"/>
        <v>Pass</v>
      </c>
      <c r="J458" t="str">
        <f t="shared" si="40"/>
        <v>Above Avg</v>
      </c>
      <c r="K458">
        <f>RANK(Table1[[#This Row],[Total]],Table1[Total],0)</f>
        <v>180</v>
      </c>
      <c r="L458" t="str">
        <f t="shared" si="41"/>
        <v>No</v>
      </c>
    </row>
    <row r="459" spans="1:12" x14ac:dyDescent="0.3">
      <c r="A459">
        <v>558</v>
      </c>
      <c r="B459" t="s">
        <v>15</v>
      </c>
      <c r="C459">
        <v>42</v>
      </c>
      <c r="D459">
        <v>92</v>
      </c>
      <c r="E459">
        <v>32</v>
      </c>
      <c r="F459">
        <f t="shared" si="37"/>
        <v>166</v>
      </c>
      <c r="G459">
        <f t="shared" si="38"/>
        <v>55.333333333333336</v>
      </c>
      <c r="H459" t="str">
        <f>IF(Table1[[#This Row],[Percentage]]&gt;=80,"A",IF(Table1[[#This Row],[Percentage]]&gt;=60,"B",IF(Table1[[#This Row],[Percentage]]&gt;=40,"C","F")))</f>
        <v>C</v>
      </c>
      <c r="I459" t="str">
        <f t="shared" si="39"/>
        <v>Pass</v>
      </c>
      <c r="J459" t="str">
        <f t="shared" si="40"/>
        <v>Below Avg</v>
      </c>
      <c r="K459">
        <f>RANK(Table1[[#This Row],[Total]],Table1[Total],0)</f>
        <v>384</v>
      </c>
      <c r="L459" t="str">
        <f t="shared" si="41"/>
        <v>No</v>
      </c>
    </row>
    <row r="460" spans="1:12" x14ac:dyDescent="0.3">
      <c r="A460">
        <v>559</v>
      </c>
      <c r="B460" t="s">
        <v>9</v>
      </c>
      <c r="C460">
        <v>71</v>
      </c>
      <c r="D460">
        <v>76</v>
      </c>
      <c r="E460">
        <v>56</v>
      </c>
      <c r="F460">
        <f t="shared" si="37"/>
        <v>203</v>
      </c>
      <c r="G460">
        <f t="shared" si="38"/>
        <v>67.666666666666671</v>
      </c>
      <c r="H460" t="str">
        <f>IF(Table1[[#This Row],[Percentage]]&gt;=80,"A",IF(Table1[[#This Row],[Percentage]]&gt;=60,"B",IF(Table1[[#This Row],[Percentage]]&gt;=40,"C","F")))</f>
        <v>B</v>
      </c>
      <c r="I460" t="str">
        <f t="shared" si="39"/>
        <v>Pass</v>
      </c>
      <c r="J460" t="str">
        <f t="shared" si="40"/>
        <v>Above Avg</v>
      </c>
      <c r="K460">
        <f>RANK(Table1[[#This Row],[Total]],Table1[Total],0)</f>
        <v>195</v>
      </c>
      <c r="L460" t="str">
        <f t="shared" si="41"/>
        <v>No</v>
      </c>
    </row>
    <row r="461" spans="1:12" x14ac:dyDescent="0.3">
      <c r="A461">
        <v>560</v>
      </c>
      <c r="B461" t="s">
        <v>8</v>
      </c>
      <c r="C461">
        <v>56</v>
      </c>
      <c r="D461">
        <v>82</v>
      </c>
      <c r="E461">
        <v>47</v>
      </c>
      <c r="F461">
        <f t="shared" si="37"/>
        <v>185</v>
      </c>
      <c r="G461">
        <f t="shared" si="38"/>
        <v>61.666666666666664</v>
      </c>
      <c r="H461" t="str">
        <f>IF(Table1[[#This Row],[Percentage]]&gt;=80,"A",IF(Table1[[#This Row],[Percentage]]&gt;=60,"B",IF(Table1[[#This Row],[Percentage]]&gt;=40,"C","F")))</f>
        <v>B</v>
      </c>
      <c r="I461" t="str">
        <f t="shared" si="39"/>
        <v>Pass</v>
      </c>
      <c r="J461" t="str">
        <f t="shared" si="40"/>
        <v>Below Avg</v>
      </c>
      <c r="K461">
        <f>RANK(Table1[[#This Row],[Total]],Table1[Total],0)</f>
        <v>292</v>
      </c>
      <c r="L461" t="str">
        <f t="shared" si="41"/>
        <v>No</v>
      </c>
    </row>
    <row r="462" spans="1:12" x14ac:dyDescent="0.3">
      <c r="A462">
        <v>561</v>
      </c>
      <c r="B462" t="s">
        <v>14</v>
      </c>
      <c r="C462">
        <v>58</v>
      </c>
      <c r="D462">
        <v>31</v>
      </c>
      <c r="E462">
        <v>64</v>
      </c>
      <c r="F462">
        <f t="shared" si="37"/>
        <v>153</v>
      </c>
      <c r="G462">
        <f t="shared" si="38"/>
        <v>51</v>
      </c>
      <c r="H462" t="str">
        <f>IF(Table1[[#This Row],[Percentage]]&gt;=80,"A",IF(Table1[[#This Row],[Percentage]]&gt;=60,"B",IF(Table1[[#This Row],[Percentage]]&gt;=40,"C","F")))</f>
        <v>C</v>
      </c>
      <c r="I462" t="str">
        <f t="shared" si="39"/>
        <v>Pass</v>
      </c>
      <c r="J462" t="str">
        <f t="shared" si="40"/>
        <v>Below Avg</v>
      </c>
      <c r="K462">
        <f>RANK(Table1[[#This Row],[Total]],Table1[Total],0)</f>
        <v>433</v>
      </c>
      <c r="L462" t="str">
        <f t="shared" si="41"/>
        <v>No</v>
      </c>
    </row>
    <row r="463" spans="1:12" x14ac:dyDescent="0.3">
      <c r="A463">
        <v>562</v>
      </c>
      <c r="B463" t="s">
        <v>10</v>
      </c>
      <c r="C463">
        <v>48</v>
      </c>
      <c r="D463">
        <v>72</v>
      </c>
      <c r="E463">
        <v>36</v>
      </c>
      <c r="F463">
        <f t="shared" si="37"/>
        <v>156</v>
      </c>
      <c r="G463">
        <f t="shared" si="38"/>
        <v>52</v>
      </c>
      <c r="H463" t="str">
        <f>IF(Table1[[#This Row],[Percentage]]&gt;=80,"A",IF(Table1[[#This Row],[Percentage]]&gt;=60,"B",IF(Table1[[#This Row],[Percentage]]&gt;=40,"C","F")))</f>
        <v>C</v>
      </c>
      <c r="I463" t="str">
        <f t="shared" si="39"/>
        <v>Pass</v>
      </c>
      <c r="J463" t="str">
        <f t="shared" si="40"/>
        <v>Below Avg</v>
      </c>
      <c r="K463">
        <f>RANK(Table1[[#This Row],[Total]],Table1[Total],0)</f>
        <v>422</v>
      </c>
      <c r="L463" t="str">
        <f t="shared" si="41"/>
        <v>No</v>
      </c>
    </row>
    <row r="464" spans="1:12" x14ac:dyDescent="0.3">
      <c r="A464">
        <v>563</v>
      </c>
      <c r="B464" t="s">
        <v>11</v>
      </c>
      <c r="C464">
        <v>35</v>
      </c>
      <c r="D464">
        <v>44</v>
      </c>
      <c r="E464">
        <v>69</v>
      </c>
      <c r="F464">
        <f t="shared" si="37"/>
        <v>148</v>
      </c>
      <c r="G464">
        <f t="shared" si="38"/>
        <v>49.333333333333336</v>
      </c>
      <c r="H464" t="str">
        <f>IF(Table1[[#This Row],[Percentage]]&gt;=80,"A",IF(Table1[[#This Row],[Percentage]]&gt;=60,"B",IF(Table1[[#This Row],[Percentage]]&gt;=40,"C","F")))</f>
        <v>C</v>
      </c>
      <c r="I464" t="str">
        <f t="shared" si="39"/>
        <v>Pass</v>
      </c>
      <c r="J464" t="str">
        <f t="shared" si="40"/>
        <v>Below Avg</v>
      </c>
      <c r="K464">
        <f>RANK(Table1[[#This Row],[Total]],Table1[Total],0)</f>
        <v>449</v>
      </c>
      <c r="L464" t="str">
        <f t="shared" si="41"/>
        <v>No</v>
      </c>
    </row>
    <row r="465" spans="1:12" x14ac:dyDescent="0.3">
      <c r="A465">
        <v>564</v>
      </c>
      <c r="B465" t="s">
        <v>14</v>
      </c>
      <c r="C465">
        <v>69</v>
      </c>
      <c r="D465">
        <v>48</v>
      </c>
      <c r="E465">
        <v>98</v>
      </c>
      <c r="F465">
        <f t="shared" si="37"/>
        <v>215</v>
      </c>
      <c r="G465">
        <f t="shared" si="38"/>
        <v>71.666666666666671</v>
      </c>
      <c r="H465" t="str">
        <f>IF(Table1[[#This Row],[Percentage]]&gt;=80,"A",IF(Table1[[#This Row],[Percentage]]&gt;=60,"B",IF(Table1[[#This Row],[Percentage]]&gt;=40,"C","F")))</f>
        <v>B</v>
      </c>
      <c r="I465" t="str">
        <f t="shared" si="39"/>
        <v>Pass</v>
      </c>
      <c r="J465" t="str">
        <f t="shared" si="40"/>
        <v>Above Avg</v>
      </c>
      <c r="K465">
        <f>RANK(Table1[[#This Row],[Total]],Table1[Total],0)</f>
        <v>135</v>
      </c>
      <c r="L465" t="str">
        <f t="shared" si="41"/>
        <v>No</v>
      </c>
    </row>
    <row r="466" spans="1:12" x14ac:dyDescent="0.3">
      <c r="A466">
        <v>565</v>
      </c>
      <c r="B466" t="s">
        <v>15</v>
      </c>
      <c r="C466">
        <v>56</v>
      </c>
      <c r="D466">
        <v>49</v>
      </c>
      <c r="E466">
        <v>70</v>
      </c>
      <c r="F466">
        <f t="shared" si="37"/>
        <v>175</v>
      </c>
      <c r="G466">
        <f t="shared" si="38"/>
        <v>58.333333333333336</v>
      </c>
      <c r="H466" t="str">
        <f>IF(Table1[[#This Row],[Percentage]]&gt;=80,"A",IF(Table1[[#This Row],[Percentage]]&gt;=60,"B",IF(Table1[[#This Row],[Percentage]]&gt;=40,"C","F")))</f>
        <v>C</v>
      </c>
      <c r="I466" t="str">
        <f t="shared" si="39"/>
        <v>Pass</v>
      </c>
      <c r="J466" t="str">
        <f t="shared" si="40"/>
        <v>Below Avg</v>
      </c>
      <c r="K466">
        <f>RANK(Table1[[#This Row],[Total]],Table1[Total],0)</f>
        <v>336</v>
      </c>
      <c r="L466" t="str">
        <f t="shared" si="41"/>
        <v>No</v>
      </c>
    </row>
    <row r="467" spans="1:12" x14ac:dyDescent="0.3">
      <c r="A467">
        <v>566</v>
      </c>
      <c r="B467" t="s">
        <v>10</v>
      </c>
      <c r="C467">
        <v>62</v>
      </c>
      <c r="D467">
        <v>32</v>
      </c>
      <c r="E467">
        <v>92</v>
      </c>
      <c r="F467">
        <f t="shared" si="37"/>
        <v>186</v>
      </c>
      <c r="G467">
        <f t="shared" si="38"/>
        <v>62</v>
      </c>
      <c r="H467" t="str">
        <f>IF(Table1[[#This Row],[Percentage]]&gt;=80,"A",IF(Table1[[#This Row],[Percentage]]&gt;=60,"B",IF(Table1[[#This Row],[Percentage]]&gt;=40,"C","F")))</f>
        <v>B</v>
      </c>
      <c r="I467" t="str">
        <f t="shared" si="39"/>
        <v>Pass</v>
      </c>
      <c r="J467" t="str">
        <f t="shared" si="40"/>
        <v>Below Avg</v>
      </c>
      <c r="K467">
        <f>RANK(Table1[[#This Row],[Total]],Table1[Total],0)</f>
        <v>290</v>
      </c>
      <c r="L467" t="str">
        <f t="shared" si="41"/>
        <v>No</v>
      </c>
    </row>
    <row r="468" spans="1:12" x14ac:dyDescent="0.3">
      <c r="A468">
        <v>567</v>
      </c>
      <c r="B468" t="s">
        <v>13</v>
      </c>
      <c r="C468">
        <v>89</v>
      </c>
      <c r="D468">
        <v>42</v>
      </c>
      <c r="E468">
        <v>82</v>
      </c>
      <c r="F468">
        <f t="shared" si="37"/>
        <v>213</v>
      </c>
      <c r="G468">
        <f t="shared" si="38"/>
        <v>71</v>
      </c>
      <c r="H468" t="str">
        <f>IF(Table1[[#This Row],[Percentage]]&gt;=80,"A",IF(Table1[[#This Row],[Percentage]]&gt;=60,"B",IF(Table1[[#This Row],[Percentage]]&gt;=40,"C","F")))</f>
        <v>B</v>
      </c>
      <c r="I468" t="str">
        <f t="shared" si="39"/>
        <v>Pass</v>
      </c>
      <c r="J468" t="str">
        <f t="shared" si="40"/>
        <v>Above Avg</v>
      </c>
      <c r="K468">
        <f>RANK(Table1[[#This Row],[Total]],Table1[Total],0)</f>
        <v>144</v>
      </c>
      <c r="L468" t="str">
        <f t="shared" si="41"/>
        <v>No</v>
      </c>
    </row>
    <row r="469" spans="1:12" x14ac:dyDescent="0.3">
      <c r="A469">
        <v>568</v>
      </c>
      <c r="B469" t="s">
        <v>11</v>
      </c>
      <c r="C469">
        <v>46</v>
      </c>
      <c r="D469">
        <v>45</v>
      </c>
      <c r="E469">
        <v>81</v>
      </c>
      <c r="F469">
        <f t="shared" si="37"/>
        <v>172</v>
      </c>
      <c r="G469">
        <f t="shared" si="38"/>
        <v>57.333333333333336</v>
      </c>
      <c r="H469" t="str">
        <f>IF(Table1[[#This Row],[Percentage]]&gt;=80,"A",IF(Table1[[#This Row],[Percentage]]&gt;=60,"B",IF(Table1[[#This Row],[Percentage]]&gt;=40,"C","F")))</f>
        <v>C</v>
      </c>
      <c r="I469" t="str">
        <f t="shared" si="39"/>
        <v>Pass</v>
      </c>
      <c r="J469" t="str">
        <f t="shared" si="40"/>
        <v>Below Avg</v>
      </c>
      <c r="K469">
        <f>RANK(Table1[[#This Row],[Total]],Table1[Total],0)</f>
        <v>351</v>
      </c>
      <c r="L469" t="str">
        <f t="shared" si="41"/>
        <v>No</v>
      </c>
    </row>
    <row r="470" spans="1:12" x14ac:dyDescent="0.3">
      <c r="A470">
        <v>569</v>
      </c>
      <c r="B470" t="s">
        <v>10</v>
      </c>
      <c r="C470">
        <v>54</v>
      </c>
      <c r="D470">
        <v>66</v>
      </c>
      <c r="E470">
        <v>35</v>
      </c>
      <c r="F470">
        <f t="shared" si="37"/>
        <v>155</v>
      </c>
      <c r="G470">
        <f t="shared" si="38"/>
        <v>51.666666666666664</v>
      </c>
      <c r="H470" t="str">
        <f>IF(Table1[[#This Row],[Percentage]]&gt;=80,"A",IF(Table1[[#This Row],[Percentage]]&gt;=60,"B",IF(Table1[[#This Row],[Percentage]]&gt;=40,"C","F")))</f>
        <v>C</v>
      </c>
      <c r="I470" t="str">
        <f t="shared" si="39"/>
        <v>Pass</v>
      </c>
      <c r="J470" t="str">
        <f t="shared" si="40"/>
        <v>Below Avg</v>
      </c>
      <c r="K470">
        <f>RANK(Table1[[#This Row],[Total]],Table1[Total],0)</f>
        <v>426</v>
      </c>
      <c r="L470" t="str">
        <f t="shared" si="41"/>
        <v>No</v>
      </c>
    </row>
    <row r="471" spans="1:12" x14ac:dyDescent="0.3">
      <c r="A471">
        <v>570</v>
      </c>
      <c r="B471" t="s">
        <v>10</v>
      </c>
      <c r="C471">
        <v>97</v>
      </c>
      <c r="D471">
        <v>70</v>
      </c>
      <c r="E471">
        <v>91</v>
      </c>
      <c r="F471">
        <f t="shared" si="37"/>
        <v>258</v>
      </c>
      <c r="G471">
        <f t="shared" si="38"/>
        <v>86</v>
      </c>
      <c r="H471" t="str">
        <f>IF(Table1[[#This Row],[Percentage]]&gt;=80,"A",IF(Table1[[#This Row],[Percentage]]&gt;=60,"B",IF(Table1[[#This Row],[Percentage]]&gt;=40,"C","F")))</f>
        <v>A</v>
      </c>
      <c r="I471" t="str">
        <f t="shared" si="39"/>
        <v>Pass</v>
      </c>
      <c r="J471" t="str">
        <f t="shared" si="40"/>
        <v>Above Avg</v>
      </c>
      <c r="K471">
        <f>RANK(Table1[[#This Row],[Total]],Table1[Total],0)</f>
        <v>20</v>
      </c>
      <c r="L471" t="str">
        <f t="shared" si="41"/>
        <v>Yes</v>
      </c>
    </row>
    <row r="472" spans="1:12" x14ac:dyDescent="0.3">
      <c r="A472">
        <v>571</v>
      </c>
      <c r="B472" t="s">
        <v>9</v>
      </c>
      <c r="C472">
        <v>76</v>
      </c>
      <c r="D472">
        <v>65</v>
      </c>
      <c r="E472">
        <v>74</v>
      </c>
      <c r="F472">
        <f t="shared" si="37"/>
        <v>215</v>
      </c>
      <c r="G472">
        <f t="shared" si="38"/>
        <v>71.666666666666671</v>
      </c>
      <c r="H472" t="str">
        <f>IF(Table1[[#This Row],[Percentage]]&gt;=80,"A",IF(Table1[[#This Row],[Percentage]]&gt;=60,"B",IF(Table1[[#This Row],[Percentage]]&gt;=40,"C","F")))</f>
        <v>B</v>
      </c>
      <c r="I472" t="str">
        <f t="shared" si="39"/>
        <v>Pass</v>
      </c>
      <c r="J472" t="str">
        <f t="shared" si="40"/>
        <v>Above Avg</v>
      </c>
      <c r="K472">
        <f>RANK(Table1[[#This Row],[Total]],Table1[Total],0)</f>
        <v>135</v>
      </c>
      <c r="L472" t="str">
        <f t="shared" si="41"/>
        <v>No</v>
      </c>
    </row>
    <row r="473" spans="1:12" x14ac:dyDescent="0.3">
      <c r="A473">
        <v>572</v>
      </c>
      <c r="B473" t="s">
        <v>9</v>
      </c>
      <c r="C473">
        <v>80</v>
      </c>
      <c r="D473">
        <v>41</v>
      </c>
      <c r="E473">
        <v>53</v>
      </c>
      <c r="F473">
        <f t="shared" si="37"/>
        <v>174</v>
      </c>
      <c r="G473">
        <f t="shared" si="38"/>
        <v>58</v>
      </c>
      <c r="H473" t="str">
        <f>IF(Table1[[#This Row],[Percentage]]&gt;=80,"A",IF(Table1[[#This Row],[Percentage]]&gt;=60,"B",IF(Table1[[#This Row],[Percentage]]&gt;=40,"C","F")))</f>
        <v>C</v>
      </c>
      <c r="I473" t="str">
        <f t="shared" si="39"/>
        <v>Pass</v>
      </c>
      <c r="J473" t="str">
        <f t="shared" si="40"/>
        <v>Below Avg</v>
      </c>
      <c r="K473">
        <f>RANK(Table1[[#This Row],[Total]],Table1[Total],0)</f>
        <v>340</v>
      </c>
      <c r="L473" t="str">
        <f t="shared" si="41"/>
        <v>No</v>
      </c>
    </row>
    <row r="474" spans="1:12" x14ac:dyDescent="0.3">
      <c r="A474">
        <v>573</v>
      </c>
      <c r="B474" t="s">
        <v>8</v>
      </c>
      <c r="C474">
        <v>54</v>
      </c>
      <c r="D474">
        <v>98</v>
      </c>
      <c r="E474">
        <v>51</v>
      </c>
      <c r="F474">
        <f t="shared" si="37"/>
        <v>203</v>
      </c>
      <c r="G474">
        <f t="shared" si="38"/>
        <v>67.666666666666671</v>
      </c>
      <c r="H474" t="str">
        <f>IF(Table1[[#This Row],[Percentage]]&gt;=80,"A",IF(Table1[[#This Row],[Percentage]]&gt;=60,"B",IF(Table1[[#This Row],[Percentage]]&gt;=40,"C","F")))</f>
        <v>B</v>
      </c>
      <c r="I474" t="str">
        <f t="shared" si="39"/>
        <v>Pass</v>
      </c>
      <c r="J474" t="str">
        <f t="shared" si="40"/>
        <v>Above Avg</v>
      </c>
      <c r="K474">
        <f>RANK(Table1[[#This Row],[Total]],Table1[Total],0)</f>
        <v>195</v>
      </c>
      <c r="L474" t="str">
        <f t="shared" si="41"/>
        <v>No</v>
      </c>
    </row>
    <row r="475" spans="1:12" x14ac:dyDescent="0.3">
      <c r="A475">
        <v>574</v>
      </c>
      <c r="B475" t="s">
        <v>14</v>
      </c>
      <c r="C475">
        <v>91</v>
      </c>
      <c r="D475">
        <v>99</v>
      </c>
      <c r="E475">
        <v>40</v>
      </c>
      <c r="F475">
        <f t="shared" si="37"/>
        <v>230</v>
      </c>
      <c r="G475">
        <f t="shared" si="38"/>
        <v>76.666666666666671</v>
      </c>
      <c r="H475" t="str">
        <f>IF(Table1[[#This Row],[Percentage]]&gt;=80,"A",IF(Table1[[#This Row],[Percentage]]&gt;=60,"B",IF(Table1[[#This Row],[Percentage]]&gt;=40,"C","F")))</f>
        <v>B</v>
      </c>
      <c r="I475" t="str">
        <f t="shared" si="39"/>
        <v>Pass</v>
      </c>
      <c r="J475" t="str">
        <f t="shared" si="40"/>
        <v>Above Avg</v>
      </c>
      <c r="K475">
        <f>RANK(Table1[[#This Row],[Total]],Table1[Total],0)</f>
        <v>78</v>
      </c>
      <c r="L475" t="str">
        <f t="shared" si="41"/>
        <v>Yes</v>
      </c>
    </row>
    <row r="476" spans="1:12" x14ac:dyDescent="0.3">
      <c r="A476">
        <v>575</v>
      </c>
      <c r="B476" t="s">
        <v>9</v>
      </c>
      <c r="C476">
        <v>35</v>
      </c>
      <c r="D476">
        <v>47</v>
      </c>
      <c r="E476">
        <v>50</v>
      </c>
      <c r="F476">
        <f t="shared" si="37"/>
        <v>132</v>
      </c>
      <c r="G476">
        <f t="shared" si="38"/>
        <v>44</v>
      </c>
      <c r="H476" t="str">
        <f>IF(Table1[[#This Row],[Percentage]]&gt;=80,"A",IF(Table1[[#This Row],[Percentage]]&gt;=60,"B",IF(Table1[[#This Row],[Percentage]]&gt;=40,"C","F")))</f>
        <v>C</v>
      </c>
      <c r="I476" t="str">
        <f t="shared" si="39"/>
        <v>Pass</v>
      </c>
      <c r="J476" t="str">
        <f t="shared" si="40"/>
        <v>Below Avg</v>
      </c>
      <c r="K476">
        <f>RANK(Table1[[#This Row],[Total]],Table1[Total],0)</f>
        <v>484</v>
      </c>
      <c r="L476" t="str">
        <f t="shared" si="41"/>
        <v>No</v>
      </c>
    </row>
    <row r="477" spans="1:12" x14ac:dyDescent="0.3">
      <c r="A477">
        <v>576</v>
      </c>
      <c r="B477" t="s">
        <v>14</v>
      </c>
      <c r="C477">
        <v>69</v>
      </c>
      <c r="D477">
        <v>33</v>
      </c>
      <c r="E477">
        <v>59</v>
      </c>
      <c r="F477">
        <f t="shared" si="37"/>
        <v>161</v>
      </c>
      <c r="G477">
        <f t="shared" si="38"/>
        <v>53.666666666666664</v>
      </c>
      <c r="H477" t="str">
        <f>IF(Table1[[#This Row],[Percentage]]&gt;=80,"A",IF(Table1[[#This Row],[Percentage]]&gt;=60,"B",IF(Table1[[#This Row],[Percentage]]&gt;=40,"C","F")))</f>
        <v>C</v>
      </c>
      <c r="I477" t="str">
        <f t="shared" si="39"/>
        <v>Pass</v>
      </c>
      <c r="J477" t="str">
        <f t="shared" si="40"/>
        <v>Below Avg</v>
      </c>
      <c r="K477">
        <f>RANK(Table1[[#This Row],[Total]],Table1[Total],0)</f>
        <v>403</v>
      </c>
      <c r="L477" t="str">
        <f t="shared" si="41"/>
        <v>No</v>
      </c>
    </row>
    <row r="478" spans="1:12" x14ac:dyDescent="0.3">
      <c r="A478">
        <v>577</v>
      </c>
      <c r="B478" t="s">
        <v>13</v>
      </c>
      <c r="C478">
        <v>34</v>
      </c>
      <c r="D478">
        <v>97</v>
      </c>
      <c r="E478">
        <v>66</v>
      </c>
      <c r="F478">
        <f t="shared" si="37"/>
        <v>197</v>
      </c>
      <c r="G478">
        <f t="shared" si="38"/>
        <v>65.666666666666671</v>
      </c>
      <c r="H478" t="str">
        <f>IF(Table1[[#This Row],[Percentage]]&gt;=80,"A",IF(Table1[[#This Row],[Percentage]]&gt;=60,"B",IF(Table1[[#This Row],[Percentage]]&gt;=40,"C","F")))</f>
        <v>B</v>
      </c>
      <c r="I478" t="str">
        <f t="shared" si="39"/>
        <v>Pass</v>
      </c>
      <c r="J478" t="str">
        <f t="shared" si="40"/>
        <v>Above Avg</v>
      </c>
      <c r="K478">
        <f>RANK(Table1[[#This Row],[Total]],Table1[Total],0)</f>
        <v>224</v>
      </c>
      <c r="L478" t="str">
        <f t="shared" si="41"/>
        <v>No</v>
      </c>
    </row>
    <row r="479" spans="1:12" x14ac:dyDescent="0.3">
      <c r="A479">
        <v>578</v>
      </c>
      <c r="B479" t="s">
        <v>11</v>
      </c>
      <c r="C479">
        <v>48</v>
      </c>
      <c r="D479">
        <v>69</v>
      </c>
      <c r="E479">
        <v>89</v>
      </c>
      <c r="F479">
        <f t="shared" si="37"/>
        <v>206</v>
      </c>
      <c r="G479">
        <f t="shared" si="38"/>
        <v>68.666666666666671</v>
      </c>
      <c r="H479" t="str">
        <f>IF(Table1[[#This Row],[Percentage]]&gt;=80,"A",IF(Table1[[#This Row],[Percentage]]&gt;=60,"B",IF(Table1[[#This Row],[Percentage]]&gt;=40,"C","F")))</f>
        <v>B</v>
      </c>
      <c r="I479" t="str">
        <f t="shared" si="39"/>
        <v>Pass</v>
      </c>
      <c r="J479" t="str">
        <f t="shared" si="40"/>
        <v>Above Avg</v>
      </c>
      <c r="K479">
        <f>RANK(Table1[[#This Row],[Total]],Table1[Total],0)</f>
        <v>180</v>
      </c>
      <c r="L479" t="str">
        <f t="shared" si="41"/>
        <v>No</v>
      </c>
    </row>
    <row r="480" spans="1:12" x14ac:dyDescent="0.3">
      <c r="A480">
        <v>579</v>
      </c>
      <c r="B480" t="s">
        <v>11</v>
      </c>
      <c r="C480">
        <v>70</v>
      </c>
      <c r="D480">
        <v>100</v>
      </c>
      <c r="E480">
        <v>53</v>
      </c>
      <c r="F480">
        <f t="shared" si="37"/>
        <v>223</v>
      </c>
      <c r="G480">
        <f t="shared" si="38"/>
        <v>74.333333333333329</v>
      </c>
      <c r="H480" t="str">
        <f>IF(Table1[[#This Row],[Percentage]]&gt;=80,"A",IF(Table1[[#This Row],[Percentage]]&gt;=60,"B",IF(Table1[[#This Row],[Percentage]]&gt;=40,"C","F")))</f>
        <v>B</v>
      </c>
      <c r="I480" t="str">
        <f t="shared" si="39"/>
        <v>Pass</v>
      </c>
      <c r="J480" t="str">
        <f t="shared" si="40"/>
        <v>Above Avg</v>
      </c>
      <c r="K480">
        <f>RANK(Table1[[#This Row],[Total]],Table1[Total],0)</f>
        <v>98</v>
      </c>
      <c r="L480" t="str">
        <f t="shared" si="41"/>
        <v>No</v>
      </c>
    </row>
    <row r="481" spans="1:12" x14ac:dyDescent="0.3">
      <c r="A481">
        <v>580</v>
      </c>
      <c r="B481" t="s">
        <v>11</v>
      </c>
      <c r="C481">
        <v>75</v>
      </c>
      <c r="D481">
        <v>97</v>
      </c>
      <c r="E481">
        <v>39</v>
      </c>
      <c r="F481">
        <f t="shared" si="37"/>
        <v>211</v>
      </c>
      <c r="G481">
        <f t="shared" si="38"/>
        <v>70.333333333333329</v>
      </c>
      <c r="H481" t="str">
        <f>IF(Table1[[#This Row],[Percentage]]&gt;=80,"A",IF(Table1[[#This Row],[Percentage]]&gt;=60,"B",IF(Table1[[#This Row],[Percentage]]&gt;=40,"C","F")))</f>
        <v>B</v>
      </c>
      <c r="I481" t="str">
        <f t="shared" si="39"/>
        <v>Pass</v>
      </c>
      <c r="J481" t="str">
        <f t="shared" si="40"/>
        <v>Above Avg</v>
      </c>
      <c r="K481">
        <f>RANK(Table1[[#This Row],[Total]],Table1[Total],0)</f>
        <v>153</v>
      </c>
      <c r="L481" t="str">
        <f t="shared" si="41"/>
        <v>No</v>
      </c>
    </row>
    <row r="482" spans="1:12" x14ac:dyDescent="0.3">
      <c r="A482">
        <v>581</v>
      </c>
      <c r="B482" t="s">
        <v>8</v>
      </c>
      <c r="C482">
        <v>86</v>
      </c>
      <c r="D482">
        <v>64</v>
      </c>
      <c r="E482">
        <v>74</v>
      </c>
      <c r="F482">
        <f t="shared" si="37"/>
        <v>224</v>
      </c>
      <c r="G482">
        <f t="shared" si="38"/>
        <v>74.666666666666671</v>
      </c>
      <c r="H482" t="str">
        <f>IF(Table1[[#This Row],[Percentage]]&gt;=80,"A",IF(Table1[[#This Row],[Percentage]]&gt;=60,"B",IF(Table1[[#This Row],[Percentage]]&gt;=40,"C","F")))</f>
        <v>B</v>
      </c>
      <c r="I482" t="str">
        <f t="shared" si="39"/>
        <v>Pass</v>
      </c>
      <c r="J482" t="str">
        <f t="shared" si="40"/>
        <v>Above Avg</v>
      </c>
      <c r="K482">
        <f>RANK(Table1[[#This Row],[Total]],Table1[Total],0)</f>
        <v>96</v>
      </c>
      <c r="L482" t="str">
        <f t="shared" si="41"/>
        <v>No</v>
      </c>
    </row>
    <row r="483" spans="1:12" x14ac:dyDescent="0.3">
      <c r="A483">
        <v>582</v>
      </c>
      <c r="B483" t="s">
        <v>14</v>
      </c>
      <c r="C483">
        <v>73</v>
      </c>
      <c r="D483">
        <v>53</v>
      </c>
      <c r="E483">
        <v>83</v>
      </c>
      <c r="F483">
        <f t="shared" si="37"/>
        <v>209</v>
      </c>
      <c r="G483">
        <f t="shared" si="38"/>
        <v>69.666666666666671</v>
      </c>
      <c r="H483" t="str">
        <f>IF(Table1[[#This Row],[Percentage]]&gt;=80,"A",IF(Table1[[#This Row],[Percentage]]&gt;=60,"B",IF(Table1[[#This Row],[Percentage]]&gt;=40,"C","F")))</f>
        <v>B</v>
      </c>
      <c r="I483" t="str">
        <f t="shared" si="39"/>
        <v>Pass</v>
      </c>
      <c r="J483" t="str">
        <f t="shared" si="40"/>
        <v>Above Avg</v>
      </c>
      <c r="K483">
        <f>RANK(Table1[[#This Row],[Total]],Table1[Total],0)</f>
        <v>164</v>
      </c>
      <c r="L483" t="str">
        <f t="shared" si="41"/>
        <v>No</v>
      </c>
    </row>
    <row r="484" spans="1:12" x14ac:dyDescent="0.3">
      <c r="A484">
        <v>583</v>
      </c>
      <c r="B484" t="s">
        <v>15</v>
      </c>
      <c r="C484">
        <v>92</v>
      </c>
      <c r="D484">
        <v>36</v>
      </c>
      <c r="E484">
        <v>74</v>
      </c>
      <c r="F484">
        <f t="shared" si="37"/>
        <v>202</v>
      </c>
      <c r="G484">
        <f t="shared" si="38"/>
        <v>67.333333333333329</v>
      </c>
      <c r="H484" t="str">
        <f>IF(Table1[[#This Row],[Percentage]]&gt;=80,"A",IF(Table1[[#This Row],[Percentage]]&gt;=60,"B",IF(Table1[[#This Row],[Percentage]]&gt;=40,"C","F")))</f>
        <v>B</v>
      </c>
      <c r="I484" t="str">
        <f t="shared" si="39"/>
        <v>Pass</v>
      </c>
      <c r="J484" t="str">
        <f t="shared" si="40"/>
        <v>Above Avg</v>
      </c>
      <c r="K484">
        <f>RANK(Table1[[#This Row],[Total]],Table1[Total],0)</f>
        <v>204</v>
      </c>
      <c r="L484" t="str">
        <f t="shared" si="41"/>
        <v>No</v>
      </c>
    </row>
    <row r="485" spans="1:12" x14ac:dyDescent="0.3">
      <c r="A485">
        <v>584</v>
      </c>
      <c r="B485" t="s">
        <v>15</v>
      </c>
      <c r="C485">
        <v>71</v>
      </c>
      <c r="D485">
        <v>93</v>
      </c>
      <c r="E485">
        <v>34</v>
      </c>
      <c r="F485">
        <f t="shared" si="37"/>
        <v>198</v>
      </c>
      <c r="G485">
        <f t="shared" si="38"/>
        <v>66</v>
      </c>
      <c r="H485" t="str">
        <f>IF(Table1[[#This Row],[Percentage]]&gt;=80,"A",IF(Table1[[#This Row],[Percentage]]&gt;=60,"B",IF(Table1[[#This Row],[Percentage]]&gt;=40,"C","F")))</f>
        <v>B</v>
      </c>
      <c r="I485" t="str">
        <f t="shared" si="39"/>
        <v>Pass</v>
      </c>
      <c r="J485" t="str">
        <f t="shared" si="40"/>
        <v>Above Avg</v>
      </c>
      <c r="K485">
        <f>RANK(Table1[[#This Row],[Total]],Table1[Total],0)</f>
        <v>217</v>
      </c>
      <c r="L485" t="str">
        <f t="shared" si="41"/>
        <v>No</v>
      </c>
    </row>
    <row r="486" spans="1:12" x14ac:dyDescent="0.3">
      <c r="A486">
        <v>585</v>
      </c>
      <c r="B486" t="s">
        <v>14</v>
      </c>
      <c r="C486">
        <v>69</v>
      </c>
      <c r="D486">
        <v>69</v>
      </c>
      <c r="E486">
        <v>85</v>
      </c>
      <c r="F486">
        <f t="shared" si="37"/>
        <v>223</v>
      </c>
      <c r="G486">
        <f t="shared" si="38"/>
        <v>74.333333333333329</v>
      </c>
      <c r="H486" t="str">
        <f>IF(Table1[[#This Row],[Percentage]]&gt;=80,"A",IF(Table1[[#This Row],[Percentage]]&gt;=60,"B",IF(Table1[[#This Row],[Percentage]]&gt;=40,"C","F")))</f>
        <v>B</v>
      </c>
      <c r="I486" t="str">
        <f t="shared" si="39"/>
        <v>Pass</v>
      </c>
      <c r="J486" t="str">
        <f t="shared" si="40"/>
        <v>Above Avg</v>
      </c>
      <c r="K486">
        <f>RANK(Table1[[#This Row],[Total]],Table1[Total],0)</f>
        <v>98</v>
      </c>
      <c r="L486" t="str">
        <f t="shared" si="41"/>
        <v>No</v>
      </c>
    </row>
    <row r="487" spans="1:12" x14ac:dyDescent="0.3">
      <c r="A487">
        <v>586</v>
      </c>
      <c r="B487" t="s">
        <v>15</v>
      </c>
      <c r="C487">
        <v>82</v>
      </c>
      <c r="D487">
        <v>47</v>
      </c>
      <c r="E487">
        <v>94</v>
      </c>
      <c r="F487">
        <f t="shared" si="37"/>
        <v>223</v>
      </c>
      <c r="G487">
        <f t="shared" si="38"/>
        <v>74.333333333333329</v>
      </c>
      <c r="H487" t="str">
        <f>IF(Table1[[#This Row],[Percentage]]&gt;=80,"A",IF(Table1[[#This Row],[Percentage]]&gt;=60,"B",IF(Table1[[#This Row],[Percentage]]&gt;=40,"C","F")))</f>
        <v>B</v>
      </c>
      <c r="I487" t="str">
        <f t="shared" si="39"/>
        <v>Pass</v>
      </c>
      <c r="J487" t="str">
        <f t="shared" si="40"/>
        <v>Above Avg</v>
      </c>
      <c r="K487">
        <f>RANK(Table1[[#This Row],[Total]],Table1[Total],0)</f>
        <v>98</v>
      </c>
      <c r="L487" t="str">
        <f t="shared" si="41"/>
        <v>No</v>
      </c>
    </row>
    <row r="488" spans="1:12" x14ac:dyDescent="0.3">
      <c r="A488">
        <v>587</v>
      </c>
      <c r="B488" t="s">
        <v>10</v>
      </c>
      <c r="C488">
        <v>76</v>
      </c>
      <c r="D488">
        <v>44</v>
      </c>
      <c r="E488">
        <v>82</v>
      </c>
      <c r="F488">
        <f t="shared" si="37"/>
        <v>202</v>
      </c>
      <c r="G488">
        <f t="shared" si="38"/>
        <v>67.333333333333329</v>
      </c>
      <c r="H488" t="str">
        <f>IF(Table1[[#This Row],[Percentage]]&gt;=80,"A",IF(Table1[[#This Row],[Percentage]]&gt;=60,"B",IF(Table1[[#This Row],[Percentage]]&gt;=40,"C","F")))</f>
        <v>B</v>
      </c>
      <c r="I488" t="str">
        <f t="shared" si="39"/>
        <v>Pass</v>
      </c>
      <c r="J488" t="str">
        <f t="shared" si="40"/>
        <v>Above Avg</v>
      </c>
      <c r="K488">
        <f>RANK(Table1[[#This Row],[Total]],Table1[Total],0)</f>
        <v>204</v>
      </c>
      <c r="L488" t="str">
        <f t="shared" si="41"/>
        <v>No</v>
      </c>
    </row>
    <row r="489" spans="1:12" x14ac:dyDescent="0.3">
      <c r="A489">
        <v>588</v>
      </c>
      <c r="B489" t="s">
        <v>15</v>
      </c>
      <c r="C489">
        <v>86</v>
      </c>
      <c r="D489">
        <v>92</v>
      </c>
      <c r="E489">
        <v>33</v>
      </c>
      <c r="F489">
        <f t="shared" si="37"/>
        <v>211</v>
      </c>
      <c r="G489">
        <f t="shared" si="38"/>
        <v>70.333333333333329</v>
      </c>
      <c r="H489" t="str">
        <f>IF(Table1[[#This Row],[Percentage]]&gt;=80,"A",IF(Table1[[#This Row],[Percentage]]&gt;=60,"B",IF(Table1[[#This Row],[Percentage]]&gt;=40,"C","F")))</f>
        <v>B</v>
      </c>
      <c r="I489" t="str">
        <f t="shared" si="39"/>
        <v>Pass</v>
      </c>
      <c r="J489" t="str">
        <f t="shared" si="40"/>
        <v>Above Avg</v>
      </c>
      <c r="K489">
        <f>RANK(Table1[[#This Row],[Total]],Table1[Total],0)</f>
        <v>153</v>
      </c>
      <c r="L489" t="str">
        <f t="shared" si="41"/>
        <v>No</v>
      </c>
    </row>
    <row r="490" spans="1:12" x14ac:dyDescent="0.3">
      <c r="A490">
        <v>589</v>
      </c>
      <c r="B490" t="s">
        <v>15</v>
      </c>
      <c r="C490">
        <v>47</v>
      </c>
      <c r="D490">
        <v>30</v>
      </c>
      <c r="E490">
        <v>35</v>
      </c>
      <c r="F490">
        <f t="shared" si="37"/>
        <v>112</v>
      </c>
      <c r="G490">
        <f t="shared" si="38"/>
        <v>37.333333333333336</v>
      </c>
      <c r="H490" t="str">
        <f>IF(Table1[[#This Row],[Percentage]]&gt;=80,"A",IF(Table1[[#This Row],[Percentage]]&gt;=60,"B",IF(Table1[[#This Row],[Percentage]]&gt;=40,"C","F")))</f>
        <v>F</v>
      </c>
      <c r="I490" t="str">
        <f t="shared" si="39"/>
        <v>Fail</v>
      </c>
      <c r="J490" t="str">
        <f t="shared" si="40"/>
        <v>Below Avg</v>
      </c>
      <c r="K490">
        <f>RANK(Table1[[#This Row],[Total]],Table1[Total],0)</f>
        <v>497</v>
      </c>
      <c r="L490" t="str">
        <f t="shared" si="41"/>
        <v>No</v>
      </c>
    </row>
    <row r="491" spans="1:12" x14ac:dyDescent="0.3">
      <c r="A491">
        <v>590</v>
      </c>
      <c r="B491" t="s">
        <v>13</v>
      </c>
      <c r="C491">
        <v>44</v>
      </c>
      <c r="D491">
        <v>44</v>
      </c>
      <c r="E491">
        <v>83</v>
      </c>
      <c r="F491">
        <f t="shared" si="37"/>
        <v>171</v>
      </c>
      <c r="G491">
        <f t="shared" si="38"/>
        <v>57</v>
      </c>
      <c r="H491" t="str">
        <f>IF(Table1[[#This Row],[Percentage]]&gt;=80,"A",IF(Table1[[#This Row],[Percentage]]&gt;=60,"B",IF(Table1[[#This Row],[Percentage]]&gt;=40,"C","F")))</f>
        <v>C</v>
      </c>
      <c r="I491" t="str">
        <f t="shared" si="39"/>
        <v>Pass</v>
      </c>
      <c r="J491" t="str">
        <f t="shared" si="40"/>
        <v>Below Avg</v>
      </c>
      <c r="K491">
        <f>RANK(Table1[[#This Row],[Total]],Table1[Total],0)</f>
        <v>360</v>
      </c>
      <c r="L491" t="str">
        <f t="shared" si="41"/>
        <v>No</v>
      </c>
    </row>
    <row r="492" spans="1:12" x14ac:dyDescent="0.3">
      <c r="A492">
        <v>591</v>
      </c>
      <c r="B492" t="s">
        <v>13</v>
      </c>
      <c r="C492">
        <v>72</v>
      </c>
      <c r="D492">
        <v>75</v>
      </c>
      <c r="E492">
        <v>67</v>
      </c>
      <c r="F492">
        <f t="shared" si="37"/>
        <v>214</v>
      </c>
      <c r="G492">
        <f t="shared" si="38"/>
        <v>71.333333333333329</v>
      </c>
      <c r="H492" t="str">
        <f>IF(Table1[[#This Row],[Percentage]]&gt;=80,"A",IF(Table1[[#This Row],[Percentage]]&gt;=60,"B",IF(Table1[[#This Row],[Percentage]]&gt;=40,"C","F")))</f>
        <v>B</v>
      </c>
      <c r="I492" t="str">
        <f t="shared" si="39"/>
        <v>Pass</v>
      </c>
      <c r="J492" t="str">
        <f t="shared" si="40"/>
        <v>Above Avg</v>
      </c>
      <c r="K492">
        <f>RANK(Table1[[#This Row],[Total]],Table1[Total],0)</f>
        <v>140</v>
      </c>
      <c r="L492" t="str">
        <f t="shared" si="41"/>
        <v>No</v>
      </c>
    </row>
    <row r="493" spans="1:12" x14ac:dyDescent="0.3">
      <c r="A493">
        <v>592</v>
      </c>
      <c r="B493" t="s">
        <v>9</v>
      </c>
      <c r="C493">
        <v>38</v>
      </c>
      <c r="D493">
        <v>48</v>
      </c>
      <c r="E493">
        <v>53</v>
      </c>
      <c r="F493">
        <f t="shared" si="37"/>
        <v>139</v>
      </c>
      <c r="G493">
        <f t="shared" si="38"/>
        <v>46.333333333333336</v>
      </c>
      <c r="H493" t="str">
        <f>IF(Table1[[#This Row],[Percentage]]&gt;=80,"A",IF(Table1[[#This Row],[Percentage]]&gt;=60,"B",IF(Table1[[#This Row],[Percentage]]&gt;=40,"C","F")))</f>
        <v>C</v>
      </c>
      <c r="I493" t="str">
        <f t="shared" si="39"/>
        <v>Pass</v>
      </c>
      <c r="J493" t="str">
        <f t="shared" si="40"/>
        <v>Below Avg</v>
      </c>
      <c r="K493">
        <f>RANK(Table1[[#This Row],[Total]],Table1[Total],0)</f>
        <v>469</v>
      </c>
      <c r="L493" t="str">
        <f t="shared" si="41"/>
        <v>No</v>
      </c>
    </row>
    <row r="494" spans="1:12" x14ac:dyDescent="0.3">
      <c r="A494">
        <v>593</v>
      </c>
      <c r="B494" t="s">
        <v>14</v>
      </c>
      <c r="C494">
        <v>90</v>
      </c>
      <c r="D494">
        <v>65</v>
      </c>
      <c r="E494">
        <v>82</v>
      </c>
      <c r="F494">
        <f t="shared" si="37"/>
        <v>237</v>
      </c>
      <c r="G494">
        <f t="shared" si="38"/>
        <v>79</v>
      </c>
      <c r="H494" t="str">
        <f>IF(Table1[[#This Row],[Percentage]]&gt;=80,"A",IF(Table1[[#This Row],[Percentage]]&gt;=60,"B",IF(Table1[[#This Row],[Percentage]]&gt;=40,"C","F")))</f>
        <v>B</v>
      </c>
      <c r="I494" t="str">
        <f t="shared" si="39"/>
        <v>Pass</v>
      </c>
      <c r="J494" t="str">
        <f t="shared" si="40"/>
        <v>Above Avg</v>
      </c>
      <c r="K494">
        <f>RANK(Table1[[#This Row],[Total]],Table1[Total],0)</f>
        <v>56</v>
      </c>
      <c r="L494" t="str">
        <f t="shared" si="41"/>
        <v>Yes</v>
      </c>
    </row>
    <row r="495" spans="1:12" x14ac:dyDescent="0.3">
      <c r="A495">
        <v>594</v>
      </c>
      <c r="B495" t="s">
        <v>12</v>
      </c>
      <c r="C495">
        <v>59</v>
      </c>
      <c r="D495">
        <v>40</v>
      </c>
      <c r="E495">
        <v>96</v>
      </c>
      <c r="F495">
        <f t="shared" si="37"/>
        <v>195</v>
      </c>
      <c r="G495">
        <f t="shared" si="38"/>
        <v>65</v>
      </c>
      <c r="H495" t="str">
        <f>IF(Table1[[#This Row],[Percentage]]&gt;=80,"A",IF(Table1[[#This Row],[Percentage]]&gt;=60,"B",IF(Table1[[#This Row],[Percentage]]&gt;=40,"C","F")))</f>
        <v>B</v>
      </c>
      <c r="I495" t="str">
        <f t="shared" si="39"/>
        <v>Pass</v>
      </c>
      <c r="J495" t="str">
        <f t="shared" si="40"/>
        <v>Above Avg</v>
      </c>
      <c r="K495">
        <f>RANK(Table1[[#This Row],[Total]],Table1[Total],0)</f>
        <v>243</v>
      </c>
      <c r="L495" t="str">
        <f t="shared" si="41"/>
        <v>No</v>
      </c>
    </row>
    <row r="496" spans="1:12" x14ac:dyDescent="0.3">
      <c r="A496">
        <v>595</v>
      </c>
      <c r="B496" t="s">
        <v>13</v>
      </c>
      <c r="C496">
        <v>46</v>
      </c>
      <c r="D496">
        <v>97</v>
      </c>
      <c r="E496">
        <v>35</v>
      </c>
      <c r="F496">
        <f t="shared" si="37"/>
        <v>178</v>
      </c>
      <c r="G496">
        <f t="shared" si="38"/>
        <v>59.333333333333336</v>
      </c>
      <c r="H496" t="str">
        <f>IF(Table1[[#This Row],[Percentage]]&gt;=80,"A",IF(Table1[[#This Row],[Percentage]]&gt;=60,"B",IF(Table1[[#This Row],[Percentage]]&gt;=40,"C","F")))</f>
        <v>C</v>
      </c>
      <c r="I496" t="str">
        <f t="shared" si="39"/>
        <v>Pass</v>
      </c>
      <c r="J496" t="str">
        <f t="shared" si="40"/>
        <v>Below Avg</v>
      </c>
      <c r="K496">
        <f>RANK(Table1[[#This Row],[Total]],Table1[Total],0)</f>
        <v>326</v>
      </c>
      <c r="L496" t="str">
        <f t="shared" si="41"/>
        <v>No</v>
      </c>
    </row>
    <row r="497" spans="1:12" x14ac:dyDescent="0.3">
      <c r="A497">
        <v>596</v>
      </c>
      <c r="B497" t="s">
        <v>15</v>
      </c>
      <c r="C497">
        <v>53</v>
      </c>
      <c r="D497">
        <v>97</v>
      </c>
      <c r="E497">
        <v>67</v>
      </c>
      <c r="F497">
        <f t="shared" si="37"/>
        <v>217</v>
      </c>
      <c r="G497">
        <f t="shared" si="38"/>
        <v>72.333333333333329</v>
      </c>
      <c r="H497" t="str">
        <f>IF(Table1[[#This Row],[Percentage]]&gt;=80,"A",IF(Table1[[#This Row],[Percentage]]&gt;=60,"B",IF(Table1[[#This Row],[Percentage]]&gt;=40,"C","F")))</f>
        <v>B</v>
      </c>
      <c r="I497" t="str">
        <f t="shared" si="39"/>
        <v>Pass</v>
      </c>
      <c r="J497" t="str">
        <f t="shared" si="40"/>
        <v>Above Avg</v>
      </c>
      <c r="K497">
        <f>RANK(Table1[[#This Row],[Total]],Table1[Total],0)</f>
        <v>125</v>
      </c>
      <c r="L497" t="str">
        <f t="shared" si="41"/>
        <v>No</v>
      </c>
    </row>
    <row r="498" spans="1:12" x14ac:dyDescent="0.3">
      <c r="A498">
        <v>597</v>
      </c>
      <c r="B498" t="s">
        <v>11</v>
      </c>
      <c r="C498">
        <v>32</v>
      </c>
      <c r="D498">
        <v>89</v>
      </c>
      <c r="E498">
        <v>34</v>
      </c>
      <c r="F498">
        <f t="shared" si="37"/>
        <v>155</v>
      </c>
      <c r="G498">
        <f t="shared" si="38"/>
        <v>51.666666666666664</v>
      </c>
      <c r="H498" t="str">
        <f>IF(Table1[[#This Row],[Percentage]]&gt;=80,"A",IF(Table1[[#This Row],[Percentage]]&gt;=60,"B",IF(Table1[[#This Row],[Percentage]]&gt;=40,"C","F")))</f>
        <v>C</v>
      </c>
      <c r="I498" t="str">
        <f t="shared" si="39"/>
        <v>Pass</v>
      </c>
      <c r="J498" t="str">
        <f t="shared" si="40"/>
        <v>Below Avg</v>
      </c>
      <c r="K498">
        <f>RANK(Table1[[#This Row],[Total]],Table1[Total],0)</f>
        <v>426</v>
      </c>
      <c r="L498" t="str">
        <f t="shared" si="41"/>
        <v>No</v>
      </c>
    </row>
    <row r="499" spans="1:12" x14ac:dyDescent="0.3">
      <c r="A499">
        <v>598</v>
      </c>
      <c r="B499" t="s">
        <v>11</v>
      </c>
      <c r="C499">
        <v>67</v>
      </c>
      <c r="D499">
        <v>58</v>
      </c>
      <c r="E499">
        <v>78</v>
      </c>
      <c r="F499">
        <f t="shared" si="37"/>
        <v>203</v>
      </c>
      <c r="G499">
        <f t="shared" si="38"/>
        <v>67.666666666666671</v>
      </c>
      <c r="H499" t="str">
        <f>IF(Table1[[#This Row],[Percentage]]&gt;=80,"A",IF(Table1[[#This Row],[Percentage]]&gt;=60,"B",IF(Table1[[#This Row],[Percentage]]&gt;=40,"C","F")))</f>
        <v>B</v>
      </c>
      <c r="I499" t="str">
        <f t="shared" si="39"/>
        <v>Pass</v>
      </c>
      <c r="J499" t="str">
        <f>IF(G499&gt;AVERAGE($G$2:$G$501),"Above Avg","Below Avg")</f>
        <v>Above Avg</v>
      </c>
      <c r="K499">
        <f>RANK(Table1[[#This Row],[Total]],Table1[Total],0)</f>
        <v>195</v>
      </c>
      <c r="L499" t="str">
        <f t="shared" si="41"/>
        <v>No</v>
      </c>
    </row>
    <row r="500" spans="1:12" x14ac:dyDescent="0.3">
      <c r="A500">
        <v>599</v>
      </c>
      <c r="B500" t="s">
        <v>9</v>
      </c>
      <c r="C500">
        <v>46</v>
      </c>
      <c r="D500">
        <v>42</v>
      </c>
      <c r="E500">
        <v>97</v>
      </c>
      <c r="F500">
        <f t="shared" si="37"/>
        <v>185</v>
      </c>
      <c r="G500">
        <f t="shared" si="38"/>
        <v>61.666666666666664</v>
      </c>
      <c r="H500" t="str">
        <f>IF(Table1[[#This Row],[Percentage]]&gt;=80,"A",IF(Table1[[#This Row],[Percentage]]&gt;=60,"B",IF(Table1[[#This Row],[Percentage]]&gt;=40,"C","F")))</f>
        <v>B</v>
      </c>
      <c r="I500" t="str">
        <f t="shared" si="39"/>
        <v>Pass</v>
      </c>
      <c r="J500" t="str">
        <f t="shared" si="40"/>
        <v>Below Avg</v>
      </c>
      <c r="K500">
        <f>RANK(Table1[[#This Row],[Total]],Table1[Total],0)</f>
        <v>292</v>
      </c>
      <c r="L500" t="str">
        <f t="shared" si="41"/>
        <v>No</v>
      </c>
    </row>
    <row r="501" spans="1:12" x14ac:dyDescent="0.3">
      <c r="A501">
        <v>600</v>
      </c>
      <c r="B501" t="s">
        <v>14</v>
      </c>
      <c r="C501">
        <v>34</v>
      </c>
      <c r="D501">
        <v>71</v>
      </c>
      <c r="E501">
        <v>54</v>
      </c>
      <c r="F501">
        <f t="shared" si="37"/>
        <v>159</v>
      </c>
      <c r="G501">
        <f t="shared" si="38"/>
        <v>53</v>
      </c>
      <c r="H501" t="str">
        <f>IF(Table1[[#This Row],[Percentage]]&gt;=80,"A",IF(Table1[[#This Row],[Percentage]]&gt;=60,"B",IF(Table1[[#This Row],[Percentage]]&gt;=40,"C","F")))</f>
        <v>C</v>
      </c>
      <c r="I501" t="str">
        <f t="shared" si="39"/>
        <v>Pass</v>
      </c>
      <c r="J501" t="str">
        <f t="shared" si="40"/>
        <v>Below Avg</v>
      </c>
      <c r="K501">
        <f>RANK(Table1[[#This Row],[Total]],Table1[Total],0)</f>
        <v>407</v>
      </c>
      <c r="L501" t="str">
        <f t="shared" si="41"/>
        <v>No</v>
      </c>
    </row>
  </sheetData>
  <pageMargins left="0.75" right="0.75" top="1" bottom="1" header="0.5" footer="0.5"/>
  <ignoredErrors>
    <ignoredError sqref="H2"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05BC9-214D-431F-A6B5-6BB002B27343}">
  <dimension ref="B1:K20"/>
  <sheetViews>
    <sheetView zoomScale="84" workbookViewId="0">
      <selection activeCell="I25" sqref="I25"/>
    </sheetView>
  </sheetViews>
  <sheetFormatPr defaultRowHeight="14.4" x14ac:dyDescent="0.3"/>
  <cols>
    <col min="2" max="2" width="12.6640625" bestFit="1" customWidth="1"/>
    <col min="3" max="3" width="13.44140625" bestFit="1" customWidth="1"/>
    <col min="4" max="4" width="12" bestFit="1" customWidth="1"/>
    <col min="5" max="5" width="13.88671875" bestFit="1" customWidth="1"/>
    <col min="6" max="6" width="11.6640625" bestFit="1" customWidth="1"/>
    <col min="7" max="7" width="17.88671875" bestFit="1" customWidth="1"/>
    <col min="10" max="10" width="12.6640625" bestFit="1" customWidth="1"/>
    <col min="11" max="11" width="13.88671875" bestFit="1" customWidth="1"/>
  </cols>
  <sheetData>
    <row r="1" spans="2:11" ht="28.8" x14ac:dyDescent="0.55000000000000004">
      <c r="E1" s="21"/>
      <c r="F1" s="24"/>
      <c r="G1" s="23" t="s">
        <v>63</v>
      </c>
      <c r="H1" s="24"/>
      <c r="I1" s="24"/>
      <c r="J1" s="21"/>
    </row>
    <row r="2" spans="2:11" x14ac:dyDescent="0.3">
      <c r="B2" s="17" t="s">
        <v>38</v>
      </c>
      <c r="C2" s="3" t="s">
        <v>40</v>
      </c>
      <c r="D2" s="3" t="s">
        <v>48</v>
      </c>
      <c r="E2" s="3" t="s">
        <v>49</v>
      </c>
      <c r="F2" s="3" t="s">
        <v>41</v>
      </c>
    </row>
    <row r="3" spans="2:11" x14ac:dyDescent="0.3">
      <c r="B3" s="18" t="s">
        <v>8</v>
      </c>
      <c r="C3" s="19">
        <v>3805</v>
      </c>
      <c r="D3" s="19">
        <v>4122</v>
      </c>
      <c r="E3" s="19">
        <v>3876</v>
      </c>
      <c r="F3" s="19">
        <v>11803</v>
      </c>
    </row>
    <row r="4" spans="2:11" x14ac:dyDescent="0.3">
      <c r="B4" s="18" t="s">
        <v>39</v>
      </c>
      <c r="C4" s="19">
        <v>3805</v>
      </c>
      <c r="D4" s="19">
        <v>4122</v>
      </c>
      <c r="E4" s="19">
        <v>3876</v>
      </c>
      <c r="F4" s="19">
        <v>11803</v>
      </c>
      <c r="J4" s="17" t="s">
        <v>38</v>
      </c>
      <c r="K4" s="3" t="s">
        <v>46</v>
      </c>
    </row>
    <row r="5" spans="2:11" x14ac:dyDescent="0.3">
      <c r="J5" s="18" t="s">
        <v>47</v>
      </c>
      <c r="K5" s="19">
        <v>495</v>
      </c>
    </row>
    <row r="6" spans="2:11" x14ac:dyDescent="0.3">
      <c r="J6" s="18" t="s">
        <v>39</v>
      </c>
      <c r="K6" s="19">
        <v>495</v>
      </c>
    </row>
    <row r="7" spans="2:11" x14ac:dyDescent="0.3">
      <c r="I7" s="25"/>
    </row>
    <row r="11" spans="2:11" x14ac:dyDescent="0.3">
      <c r="J11" s="17" t="s">
        <v>38</v>
      </c>
      <c r="K11" s="3" t="s">
        <v>46</v>
      </c>
    </row>
    <row r="12" spans="2:11" x14ac:dyDescent="0.3">
      <c r="J12" s="18" t="s">
        <v>61</v>
      </c>
      <c r="K12" s="19">
        <v>5</v>
      </c>
    </row>
    <row r="13" spans="2:11" x14ac:dyDescent="0.3">
      <c r="J13" s="18" t="s">
        <v>39</v>
      </c>
      <c r="K13" s="19">
        <v>5</v>
      </c>
    </row>
    <row r="18" spans="5:6" x14ac:dyDescent="0.3">
      <c r="E18" s="17" t="s">
        <v>38</v>
      </c>
      <c r="F18" s="3" t="s">
        <v>59</v>
      </c>
    </row>
    <row r="19" spans="5:6" x14ac:dyDescent="0.3">
      <c r="E19" s="18" t="s">
        <v>13</v>
      </c>
      <c r="F19" s="20">
        <v>192.66666666666666</v>
      </c>
    </row>
    <row r="20" spans="5:6" x14ac:dyDescent="0.3">
      <c r="E20" s="18" t="s">
        <v>39</v>
      </c>
      <c r="F20" s="20">
        <v>192.66666666666666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CE02-DD69-4FC9-8FF9-67968D403939}">
  <dimension ref="J1:O12"/>
  <sheetViews>
    <sheetView showGridLines="0" tabSelected="1" zoomScale="86" workbookViewId="0">
      <selection activeCell="M14" sqref="M14"/>
    </sheetView>
  </sheetViews>
  <sheetFormatPr defaultRowHeight="14.4" x14ac:dyDescent="0.3"/>
  <cols>
    <col min="12" max="12" width="11.77734375" bestFit="1" customWidth="1"/>
  </cols>
  <sheetData>
    <row r="1" spans="10:15" ht="24.75" customHeight="1" x14ac:dyDescent="0.55000000000000004">
      <c r="J1" s="21"/>
      <c r="K1" s="21"/>
      <c r="L1" s="23" t="s">
        <v>62</v>
      </c>
      <c r="M1" s="24"/>
      <c r="N1" s="24"/>
      <c r="O1" s="21"/>
    </row>
    <row r="12" spans="10:15" x14ac:dyDescent="0.3">
      <c r="M12" s="2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Student Result System</vt:lpstr>
      <vt:lpstr>Qustions</vt:lpstr>
      <vt:lpstr>Answer Sheet</vt:lpstr>
      <vt:lpstr>Pivot Table</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smriti sarkar</cp:lastModifiedBy>
  <dcterms:created xsi:type="dcterms:W3CDTF">2026-03-20T13:25:16Z</dcterms:created>
  <dcterms:modified xsi:type="dcterms:W3CDTF">2026-03-24T06:18:06Z</dcterms:modified>
</cp:coreProperties>
</file>